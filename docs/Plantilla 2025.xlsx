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y Drive\Documents\Plantilla Gastos\"/>
    </mc:Choice>
  </mc:AlternateContent>
  <xr:revisionPtr revIDLastSave="0" documentId="13_ncr:1_{E895583D-919C-4F22-BA17-D61064272AC5}" xr6:coauthVersionLast="47" xr6:coauthVersionMax="47" xr10:uidLastSave="{00000000-0000-0000-0000-000000000000}"/>
  <bookViews>
    <workbookView xWindow="-110" yWindow="-110" windowWidth="19420" windowHeight="10300" tabRatio="872" firstSheet="3" activeTab="16" xr2:uid="{00000000-000D-0000-FFFF-FFFF00000000}"/>
  </bookViews>
  <sheets>
    <sheet name="- AYUDA -" sheetId="49" r:id="rId1"/>
    <sheet name="Reporte " sheetId="11" r:id="rId2"/>
    <sheet name="Tipo de Gastos" sheetId="6" r:id="rId3"/>
    <sheet name="Enero" sheetId="13" r:id="rId4"/>
    <sheet name="Auxiliar" sheetId="48" state="hidden" r:id="rId5"/>
    <sheet name="Febrero" sheetId="37" r:id="rId6"/>
    <sheet name="Marzo" sheetId="38" r:id="rId7"/>
    <sheet name="Abril" sheetId="39" r:id="rId8"/>
    <sheet name="Mayo" sheetId="40" r:id="rId9"/>
    <sheet name="Junio" sheetId="41" r:id="rId10"/>
    <sheet name="Julio" sheetId="42" r:id="rId11"/>
    <sheet name="Agosto" sheetId="43" r:id="rId12"/>
    <sheet name="Sheet1" sheetId="50" r:id="rId13"/>
    <sheet name="Septiembre" sheetId="44" r:id="rId14"/>
    <sheet name="Octubre" sheetId="45" r:id="rId15"/>
    <sheet name="Noviembre" sheetId="46" r:id="rId16"/>
    <sheet name="Diciembre" sheetId="47" r:id="rId17"/>
  </sheets>
  <definedNames>
    <definedName name="_xlnm._FilterDatabase" localSheetId="7" hidden="1">Abril!$B$5:$H$59</definedName>
    <definedName name="_xlnm._FilterDatabase" localSheetId="11" hidden="1">Agosto!$B$5:$H$18</definedName>
    <definedName name="_xlnm._FilterDatabase" localSheetId="16" hidden="1">Diciembre!$B$5:$H$19</definedName>
    <definedName name="_xlnm._FilterDatabase" localSheetId="3" hidden="1">Enero!$B$5:$F$24</definedName>
    <definedName name="_xlnm._FilterDatabase" localSheetId="5" hidden="1">Febrero!$B$5:$H$17</definedName>
    <definedName name="_xlnm._FilterDatabase" localSheetId="10" hidden="1">Julio!$B$5:$H$17</definedName>
    <definedName name="_xlnm._FilterDatabase" localSheetId="9" hidden="1">Junio!$B$5:$H$7</definedName>
    <definedName name="_xlnm._FilterDatabase" localSheetId="6" hidden="1">Marzo!$B$5:$H$20</definedName>
    <definedName name="_xlnm._FilterDatabase" localSheetId="8" hidden="1">Mayo!$B$5:$H$20</definedName>
    <definedName name="_xlnm._FilterDatabase" localSheetId="15" hidden="1">Noviembre!$B$5:$H$18</definedName>
    <definedName name="_xlnm._FilterDatabase" localSheetId="14" hidden="1">Octubre!$B$5:$H$18</definedName>
    <definedName name="_xlnm._FilterDatabase" localSheetId="13" hidden="1">Septiembre!$B$5:$F$24</definedName>
    <definedName name="_xlnm._FilterDatabase" localSheetId="2" hidden="1">'Tipo de Gastos'!$B$9:$I$22</definedName>
    <definedName name="Categorías">'Tipo de Gastos'!$B$6:$I$6</definedName>
    <definedName name="Formación">'Tipo de Gastos'!$B$8:$B$10</definedName>
    <definedName name="Gastos_Fijos">'Tipo de Gastos'!$C$8:$C$22</definedName>
    <definedName name="Impuestos">'Tipo de Gastos'!$D$8:$D$11</definedName>
    <definedName name="Inversiones">'Tipo de Gastos'!$E$8:$E$15</definedName>
    <definedName name="Ocio">'Tipo de Gastos'!$F$8:$F$11</definedName>
    <definedName name="Salud">'Tipo de Gastos'!$G$8:$G$12</definedName>
    <definedName name="Transporte">'Tipo de Gastos'!$H$8:$H$10</definedName>
    <definedName name="Vivienda">'Tipo de Gastos'!$I$8:$I$13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4" l="1"/>
  <c r="G9" i="44"/>
  <c r="G8" i="44"/>
  <c r="G7" i="44"/>
  <c r="G9" i="42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9" i="41"/>
  <c r="G10" i="41"/>
  <c r="G11" i="41"/>
  <c r="G12" i="41"/>
  <c r="G13" i="41"/>
  <c r="G14" i="41"/>
  <c r="G8" i="41"/>
  <c r="G6" i="41"/>
  <c r="G7" i="41"/>
  <c r="G28" i="41"/>
  <c r="G29" i="41"/>
  <c r="G30" i="41"/>
  <c r="G31" i="41"/>
  <c r="G32" i="41"/>
  <c r="G33" i="41"/>
  <c r="G34" i="41"/>
  <c r="G35" i="41"/>
  <c r="G36" i="41"/>
  <c r="G37" i="41"/>
  <c r="G38" i="41"/>
  <c r="G39" i="41"/>
  <c r="G40" i="41"/>
  <c r="G41" i="41"/>
  <c r="G42" i="41"/>
  <c r="G43" i="41"/>
  <c r="G44" i="41"/>
  <c r="G45" i="41"/>
  <c r="G46" i="41"/>
  <c r="G47" i="41"/>
  <c r="G48" i="41"/>
  <c r="G49" i="41"/>
  <c r="G50" i="41"/>
  <c r="G51" i="41"/>
  <c r="G52" i="41"/>
  <c r="G53" i="41"/>
  <c r="G54" i="41"/>
  <c r="G55" i="41"/>
  <c r="G56" i="41"/>
  <c r="G57" i="41"/>
  <c r="G58" i="41"/>
  <c r="G59" i="41"/>
  <c r="G60" i="41"/>
  <c r="G61" i="41"/>
  <c r="G62" i="41"/>
  <c r="G63" i="41"/>
  <c r="G64" i="41"/>
  <c r="G65" i="41"/>
  <c r="G66" i="41"/>
  <c r="G67" i="41"/>
  <c r="G68" i="41"/>
  <c r="G69" i="41"/>
  <c r="G70" i="41"/>
  <c r="G71" i="41"/>
  <c r="G72" i="41"/>
  <c r="G73" i="41"/>
  <c r="G74" i="41"/>
  <c r="G75" i="41"/>
  <c r="G76" i="41"/>
  <c r="G77" i="41"/>
  <c r="G78" i="41"/>
  <c r="G79" i="41"/>
  <c r="G23" i="40"/>
  <c r="G8" i="42"/>
  <c r="G15" i="40"/>
  <c r="G12" i="40"/>
  <c r="G14" i="40"/>
  <c r="G16" i="40"/>
  <c r="G17" i="40"/>
  <c r="G18" i="40"/>
  <c r="G19" i="40"/>
  <c r="G20" i="40"/>
  <c r="G21" i="40"/>
  <c r="G22" i="40"/>
  <c r="G10" i="40"/>
  <c r="G11" i="40"/>
  <c r="G9" i="40"/>
  <c r="G7" i="40"/>
  <c r="G8" i="40"/>
  <c r="G8" i="43"/>
  <c r="G13" i="40"/>
  <c r="G22" i="39"/>
  <c r="G21" i="39"/>
  <c r="G16" i="39"/>
  <c r="G15" i="39"/>
  <c r="G17" i="39"/>
  <c r="G7" i="38"/>
  <c r="G7" i="39"/>
  <c r="G8" i="38"/>
  <c r="G10" i="38"/>
  <c r="G11" i="38"/>
  <c r="G12" i="38"/>
  <c r="G7" i="37"/>
  <c r="G12" i="37"/>
  <c r="F24" i="50"/>
  <c r="F23" i="50"/>
  <c r="F22" i="50"/>
  <c r="F28" i="50"/>
  <c r="F26" i="50"/>
  <c r="F27" i="50"/>
  <c r="F25" i="50"/>
  <c r="E33" i="50"/>
  <c r="F14" i="50"/>
  <c r="F13" i="50"/>
  <c r="F12" i="50"/>
  <c r="F11" i="50"/>
  <c r="F29" i="50"/>
  <c r="G13" i="13"/>
  <c r="F10" i="50"/>
  <c r="F9" i="50"/>
  <c r="G12" i="13"/>
  <c r="F6" i="50"/>
  <c r="F8" i="50"/>
  <c r="G11" i="13"/>
  <c r="G9" i="13"/>
  <c r="G10" i="13"/>
  <c r="G7" i="13"/>
  <c r="G8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19" i="47"/>
  <c r="F5" i="50"/>
  <c r="E17" i="50"/>
  <c r="G8" i="45"/>
  <c r="F7" i="50"/>
  <c r="G30" i="44"/>
  <c r="G31" i="44"/>
  <c r="G14" i="44"/>
  <c r="G8" i="47"/>
  <c r="G7" i="47"/>
  <c r="G7" i="46"/>
  <c r="G10" i="45"/>
  <c r="G15" i="44"/>
  <c r="G38" i="43"/>
  <c r="G28" i="43"/>
  <c r="G25" i="42"/>
  <c r="G6" i="44"/>
  <c r="G6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9" i="43"/>
  <c r="G30" i="43"/>
  <c r="G31" i="43"/>
  <c r="G32" i="43"/>
  <c r="G33" i="43"/>
  <c r="G34" i="43"/>
  <c r="G35" i="43"/>
  <c r="G36" i="43"/>
  <c r="G37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G68" i="43"/>
  <c r="G69" i="43"/>
  <c r="G70" i="43"/>
  <c r="G71" i="43"/>
  <c r="G72" i="43"/>
  <c r="G73" i="43"/>
  <c r="G74" i="43"/>
  <c r="G75" i="43"/>
  <c r="G76" i="43"/>
  <c r="G77" i="43"/>
  <c r="G78" i="43"/>
  <c r="G79" i="43"/>
  <c r="G80" i="43"/>
  <c r="G81" i="43"/>
  <c r="G82" i="43"/>
  <c r="G83" i="43"/>
  <c r="G84" i="43"/>
  <c r="G85" i="43"/>
  <c r="G86" i="43"/>
  <c r="G87" i="43"/>
  <c r="G88" i="43"/>
  <c r="G89" i="43"/>
  <c r="G90" i="43"/>
  <c r="G91" i="43"/>
  <c r="G92" i="43"/>
  <c r="G93" i="43"/>
  <c r="G94" i="43"/>
  <c r="G95" i="43"/>
  <c r="G6" i="42"/>
  <c r="G10" i="42"/>
  <c r="G11" i="42"/>
  <c r="G12" i="42"/>
  <c r="G13" i="42"/>
  <c r="G14" i="42"/>
  <c r="G15" i="42"/>
  <c r="G16" i="42"/>
  <c r="G17" i="42"/>
  <c r="G18" i="42"/>
  <c r="G19" i="42"/>
  <c r="G20" i="42"/>
  <c r="G21" i="42"/>
  <c r="G22" i="42"/>
  <c r="G23" i="42"/>
  <c r="G24" i="42"/>
  <c r="G26" i="42"/>
  <c r="G27" i="42"/>
  <c r="G28" i="42"/>
  <c r="G29" i="42"/>
  <c r="G30" i="42"/>
  <c r="G31" i="42"/>
  <c r="G32" i="42"/>
  <c r="G33" i="42"/>
  <c r="G34" i="42"/>
  <c r="G35" i="42"/>
  <c r="G36" i="42"/>
  <c r="G37" i="42"/>
  <c r="G38" i="42"/>
  <c r="G39" i="42"/>
  <c r="G41" i="42"/>
  <c r="G42" i="42"/>
  <c r="G43" i="42"/>
  <c r="G44" i="42"/>
  <c r="G45" i="42"/>
  <c r="G46" i="42"/>
  <c r="G47" i="42"/>
  <c r="G48" i="42"/>
  <c r="G49" i="42"/>
  <c r="G50" i="42"/>
  <c r="G51" i="42"/>
  <c r="G52" i="42"/>
  <c r="G53" i="42"/>
  <c r="G54" i="42"/>
  <c r="G55" i="42"/>
  <c r="G56" i="42"/>
  <c r="G57" i="42"/>
  <c r="G58" i="42"/>
  <c r="G59" i="42"/>
  <c r="G60" i="42"/>
  <c r="G61" i="42"/>
  <c r="G62" i="42"/>
  <c r="G63" i="42"/>
  <c r="G64" i="42"/>
  <c r="G65" i="42"/>
  <c r="G66" i="42"/>
  <c r="G67" i="42"/>
  <c r="G68" i="42"/>
  <c r="G69" i="42"/>
  <c r="G70" i="42"/>
  <c r="G71" i="42"/>
  <c r="G72" i="42"/>
  <c r="G73" i="42"/>
  <c r="G74" i="42"/>
  <c r="G75" i="42"/>
  <c r="G76" i="42"/>
  <c r="G77" i="42"/>
  <c r="G78" i="42"/>
  <c r="G79" i="42"/>
  <c r="G80" i="42"/>
  <c r="G81" i="42"/>
  <c r="G82" i="42"/>
  <c r="G83" i="42"/>
  <c r="G84" i="42"/>
  <c r="G85" i="42"/>
  <c r="G86" i="42"/>
  <c r="G87" i="42"/>
  <c r="G88" i="42"/>
  <c r="G89" i="42"/>
  <c r="G90" i="42"/>
  <c r="G91" i="42"/>
  <c r="G92" i="42"/>
  <c r="G93" i="42"/>
  <c r="G94" i="42"/>
  <c r="G95" i="42"/>
  <c r="G45" i="39"/>
  <c r="G46" i="39"/>
  <c r="G48" i="39"/>
  <c r="G49" i="39"/>
  <c r="G50" i="39"/>
  <c r="G51" i="39"/>
  <c r="G52" i="39"/>
  <c r="G53" i="39"/>
  <c r="G54" i="39"/>
  <c r="G55" i="39"/>
  <c r="G56" i="39"/>
  <c r="G57" i="39"/>
  <c r="G58" i="39"/>
  <c r="G38" i="39"/>
  <c r="G39" i="39"/>
  <c r="G40" i="39"/>
  <c r="G41" i="39"/>
  <c r="G42" i="39"/>
  <c r="G43" i="39"/>
  <c r="G44" i="39"/>
  <c r="G9" i="47"/>
  <c r="G8" i="46"/>
  <c r="G9" i="45"/>
  <c r="G12" i="39"/>
  <c r="G25" i="39"/>
  <c r="G26" i="39"/>
  <c r="G27" i="39"/>
  <c r="G28" i="39"/>
  <c r="G29" i="39"/>
  <c r="G30" i="39"/>
  <c r="G31" i="39"/>
  <c r="G32" i="39"/>
  <c r="G33" i="39"/>
  <c r="G34" i="39"/>
  <c r="G35" i="39"/>
  <c r="G36" i="39"/>
  <c r="W43" i="11"/>
  <c r="O43" i="11"/>
  <c r="J60" i="11"/>
  <c r="D39" i="11"/>
  <c r="X39" i="11"/>
  <c r="S43" i="11"/>
  <c r="F43" i="11"/>
  <c r="H39" i="11"/>
  <c r="Y39" i="11"/>
  <c r="N43" i="11"/>
  <c r="Z43" i="11"/>
  <c r="C60" i="11"/>
  <c r="M60" i="11"/>
  <c r="Y43" i="11"/>
  <c r="F60" i="11"/>
  <c r="M43" i="11"/>
  <c r="H43" i="11"/>
  <c r="S60" i="11"/>
  <c r="J43" i="11"/>
  <c r="T39" i="11"/>
  <c r="V60" i="11"/>
  <c r="K39" i="11"/>
  <c r="Y60" i="11"/>
  <c r="Q43" i="11"/>
  <c r="L39" i="11"/>
  <c r="D60" i="11"/>
  <c r="R39" i="11"/>
  <c r="O39" i="11"/>
  <c r="T60" i="11"/>
  <c r="P39" i="11"/>
  <c r="K43" i="11"/>
  <c r="X60" i="11"/>
  <c r="K60" i="11"/>
  <c r="E43" i="11"/>
  <c r="Q39" i="11"/>
  <c r="V43" i="11"/>
  <c r="R43" i="11"/>
  <c r="S39" i="11"/>
  <c r="U60" i="11"/>
  <c r="L60" i="11"/>
  <c r="E39" i="11"/>
  <c r="W60" i="11"/>
  <c r="G60" i="11"/>
  <c r="P60" i="11"/>
  <c r="U43" i="11"/>
  <c r="Q60" i="11"/>
  <c r="C43" i="11"/>
  <c r="I60" i="11"/>
  <c r="C39" i="11"/>
  <c r="N39" i="11"/>
  <c r="D43" i="11"/>
  <c r="G39" i="11"/>
  <c r="O60" i="11"/>
  <c r="T43" i="11"/>
  <c r="I39" i="11"/>
  <c r="I43" i="11"/>
  <c r="P43" i="11"/>
  <c r="U39" i="11"/>
  <c r="W39" i="11"/>
  <c r="Z60" i="11"/>
  <c r="R60" i="11"/>
  <c r="M39" i="11"/>
  <c r="X43" i="11"/>
  <c r="E60" i="11"/>
  <c r="G43" i="11"/>
  <c r="J39" i="11"/>
  <c r="AB60" i="11" l="1"/>
  <c r="F33" i="50"/>
  <c r="F17" i="50"/>
  <c r="AB39" i="11"/>
  <c r="AB43" i="11"/>
  <c r="G11" i="39"/>
  <c r="G13" i="39"/>
  <c r="G14" i="39"/>
  <c r="G18" i="39"/>
  <c r="G19" i="39"/>
  <c r="G20" i="39"/>
  <c r="G23" i="39"/>
  <c r="G24" i="39"/>
  <c r="G20" i="38"/>
  <c r="G6" i="13"/>
  <c r="Y20" i="11"/>
  <c r="I18" i="11"/>
  <c r="R11" i="11"/>
  <c r="S18" i="11"/>
  <c r="W11" i="11"/>
  <c r="M40" i="11"/>
  <c r="Z11" i="11"/>
  <c r="U20" i="11"/>
  <c r="M44" i="11"/>
  <c r="P38" i="11"/>
  <c r="J11" i="11"/>
  <c r="Y41" i="11"/>
  <c r="R38" i="11"/>
  <c r="J35" i="11"/>
  <c r="I38" i="11"/>
  <c r="M41" i="11"/>
  <c r="O40" i="11"/>
  <c r="Q20" i="11"/>
  <c r="Y38" i="11"/>
  <c r="E20" i="11"/>
  <c r="P41" i="11"/>
  <c r="J56" i="11"/>
  <c r="K41" i="11"/>
  <c r="D20" i="11"/>
  <c r="Q11" i="11"/>
  <c r="L42" i="11"/>
  <c r="J48" i="11"/>
  <c r="Y44" i="11"/>
  <c r="G38" i="11"/>
  <c r="E42" i="11"/>
  <c r="X11" i="11"/>
  <c r="C18" i="11"/>
  <c r="K22" i="11"/>
  <c r="I20" i="11"/>
  <c r="Q41" i="11"/>
  <c r="L18" i="11"/>
  <c r="J31" i="11"/>
  <c r="C41" i="11"/>
  <c r="T38" i="11"/>
  <c r="I54" i="11"/>
  <c r="X40" i="11"/>
  <c r="Z40" i="11"/>
  <c r="P22" i="11"/>
  <c r="J30" i="11"/>
  <c r="I32" i="11"/>
  <c r="H42" i="11"/>
  <c r="M20" i="11"/>
  <c r="J46" i="11"/>
  <c r="H18" i="11"/>
  <c r="J34" i="11"/>
  <c r="P11" i="11"/>
  <c r="I35" i="11"/>
  <c r="Y40" i="11"/>
  <c r="J22" i="11"/>
  <c r="I42" i="11"/>
  <c r="J42" i="11"/>
  <c r="P18" i="11"/>
  <c r="I44" i="11"/>
  <c r="J49" i="11"/>
  <c r="I55" i="11"/>
  <c r="Z18" i="11"/>
  <c r="U40" i="11"/>
  <c r="I46" i="11"/>
  <c r="J51" i="11"/>
  <c r="I49" i="11"/>
  <c r="S42" i="11"/>
  <c r="S20" i="11"/>
  <c r="I47" i="11"/>
  <c r="D38" i="11"/>
  <c r="U18" i="11"/>
  <c r="C11" i="11"/>
  <c r="R40" i="11"/>
  <c r="G20" i="11"/>
  <c r="V42" i="11"/>
  <c r="J25" i="11"/>
  <c r="Q38" i="11"/>
  <c r="Z38" i="11"/>
  <c r="U44" i="11"/>
  <c r="T18" i="11"/>
  <c r="V40" i="11"/>
  <c r="J61" i="11"/>
  <c r="I27" i="11"/>
  <c r="G18" i="11"/>
  <c r="K44" i="11"/>
  <c r="J36" i="11"/>
  <c r="J54" i="11"/>
  <c r="I40" i="11"/>
  <c r="R42" i="11"/>
  <c r="Z44" i="11"/>
  <c r="S40" i="11"/>
  <c r="Z41" i="11"/>
  <c r="J27" i="11"/>
  <c r="K42" i="11"/>
  <c r="E22" i="11"/>
  <c r="X20" i="11"/>
  <c r="C22" i="11"/>
  <c r="W42" i="11"/>
  <c r="G41" i="11"/>
  <c r="Q42" i="11"/>
  <c r="W38" i="11"/>
  <c r="I51" i="11"/>
  <c r="J38" i="11"/>
  <c r="C20" i="11"/>
  <c r="E41" i="11"/>
  <c r="Y42" i="11"/>
  <c r="K38" i="11"/>
  <c r="Z20" i="11"/>
  <c r="U42" i="11"/>
  <c r="W18" i="11"/>
  <c r="Q44" i="11"/>
  <c r="I22" i="11"/>
  <c r="R20" i="11"/>
  <c r="M42" i="11"/>
  <c r="C42" i="11"/>
  <c r="V20" i="11"/>
  <c r="Z42" i="11"/>
  <c r="O41" i="11"/>
  <c r="O42" i="11"/>
  <c r="R44" i="11"/>
  <c r="E38" i="11"/>
  <c r="D40" i="11"/>
  <c r="T40" i="11"/>
  <c r="E40" i="11"/>
  <c r="O44" i="11"/>
  <c r="X18" i="11"/>
  <c r="J41" i="11"/>
  <c r="I26" i="11"/>
  <c r="S41" i="11"/>
  <c r="C38" i="11"/>
  <c r="U41" i="11"/>
  <c r="I50" i="11"/>
  <c r="Q22" i="11"/>
  <c r="I31" i="11"/>
  <c r="T42" i="11"/>
  <c r="X44" i="11"/>
  <c r="W40" i="11"/>
  <c r="G40" i="11"/>
  <c r="F20" i="11"/>
  <c r="J50" i="11"/>
  <c r="O20" i="11"/>
  <c r="O22" i="11"/>
  <c r="U11" i="11"/>
  <c r="O18" i="11"/>
  <c r="X38" i="11"/>
  <c r="U22" i="11"/>
  <c r="U38" i="11"/>
  <c r="W41" i="11"/>
  <c r="S44" i="11"/>
  <c r="N18" i="11"/>
  <c r="Y18" i="11"/>
  <c r="R22" i="11"/>
  <c r="D44" i="11"/>
  <c r="L11" i="11"/>
  <c r="Y11" i="11"/>
  <c r="C40" i="11"/>
  <c r="J57" i="11"/>
  <c r="Q18" i="11"/>
  <c r="L38" i="11"/>
  <c r="H60" i="11"/>
  <c r="I11" i="11"/>
  <c r="C44" i="11"/>
  <c r="V11" i="11"/>
  <c r="G22" i="11"/>
  <c r="K18" i="11"/>
  <c r="I34" i="11"/>
  <c r="V38" i="11"/>
  <c r="I53" i="11"/>
  <c r="F44" i="11"/>
  <c r="V41" i="11"/>
  <c r="E11" i="11"/>
  <c r="W22" i="11"/>
  <c r="M38" i="11"/>
  <c r="E44" i="11"/>
  <c r="I36" i="11"/>
  <c r="Y22" i="11"/>
  <c r="G42" i="11"/>
  <c r="P44" i="11"/>
  <c r="N20" i="11"/>
  <c r="S11" i="11"/>
  <c r="I57" i="11"/>
  <c r="J32" i="11"/>
  <c r="O38" i="11"/>
  <c r="J29" i="11"/>
  <c r="L20" i="11"/>
  <c r="N44" i="11"/>
  <c r="E18" i="11"/>
  <c r="M22" i="11"/>
  <c r="I48" i="11"/>
  <c r="I61" i="11"/>
  <c r="W20" i="11"/>
  <c r="T20" i="11"/>
  <c r="T11" i="11"/>
  <c r="J53" i="11"/>
  <c r="G11" i="11"/>
  <c r="P20" i="11"/>
  <c r="D42" i="11"/>
  <c r="J20" i="11"/>
  <c r="M18" i="11"/>
  <c r="P42" i="11"/>
  <c r="S38" i="11"/>
  <c r="S22" i="11"/>
  <c r="K20" i="11"/>
  <c r="I59" i="11"/>
  <c r="J44" i="11"/>
  <c r="J18" i="11"/>
  <c r="W44" i="11"/>
  <c r="I25" i="11"/>
  <c r="L44" i="11"/>
  <c r="K40" i="11"/>
  <c r="O11" i="11"/>
  <c r="M11" i="11"/>
  <c r="J47" i="11"/>
  <c r="G44" i="11"/>
  <c r="I30" i="11"/>
  <c r="I56" i="11"/>
  <c r="I41" i="11"/>
  <c r="I29" i="11"/>
  <c r="R18" i="11"/>
  <c r="K11" i="11"/>
  <c r="X42" i="11"/>
  <c r="J55" i="11"/>
  <c r="F42" i="11"/>
  <c r="V18" i="11"/>
  <c r="Q40" i="11"/>
  <c r="N42" i="11"/>
  <c r="R41" i="11"/>
  <c r="AB40" i="11" l="1"/>
  <c r="AB20" i="11"/>
  <c r="AB22" i="11"/>
  <c r="AC42" i="11"/>
  <c r="AB42" i="11"/>
  <c r="I37" i="11"/>
  <c r="AB18" i="11"/>
  <c r="AB11" i="11"/>
  <c r="R37" i="11"/>
  <c r="S37" i="11"/>
  <c r="M37" i="11"/>
  <c r="U37" i="11"/>
  <c r="O37" i="11"/>
  <c r="W37" i="11"/>
  <c r="AB38" i="11"/>
  <c r="C37" i="11"/>
  <c r="G37" i="11"/>
  <c r="AB44" i="11"/>
  <c r="Q37" i="11"/>
  <c r="E37" i="11"/>
  <c r="Y37" i="11"/>
  <c r="K37" i="11"/>
  <c r="AB41" i="11"/>
  <c r="G6" i="47"/>
  <c r="G10" i="47"/>
  <c r="G11" i="47"/>
  <c r="G12" i="47"/>
  <c r="G13" i="47"/>
  <c r="G14" i="47"/>
  <c r="G15" i="47"/>
  <c r="G16" i="47"/>
  <c r="G17" i="47"/>
  <c r="G18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33" i="47"/>
  <c r="G34" i="47"/>
  <c r="G35" i="47"/>
  <c r="G36" i="47"/>
  <c r="G37" i="47"/>
  <c r="G38" i="47"/>
  <c r="G39" i="47"/>
  <c r="G40" i="47"/>
  <c r="G41" i="47"/>
  <c r="G42" i="47"/>
  <c r="G43" i="47"/>
  <c r="G44" i="47"/>
  <c r="G45" i="47"/>
  <c r="G46" i="47"/>
  <c r="G47" i="47"/>
  <c r="G48" i="47"/>
  <c r="G49" i="47"/>
  <c r="G50" i="47"/>
  <c r="G51" i="47"/>
  <c r="G52" i="47"/>
  <c r="G53" i="47"/>
  <c r="G54" i="47"/>
  <c r="G55" i="47"/>
  <c r="G56" i="47"/>
  <c r="G57" i="47"/>
  <c r="G58" i="47"/>
  <c r="G59" i="47"/>
  <c r="G60" i="47"/>
  <c r="G61" i="47"/>
  <c r="G62" i="47"/>
  <c r="G63" i="47"/>
  <c r="G64" i="47"/>
  <c r="G65" i="47"/>
  <c r="G66" i="47"/>
  <c r="G67" i="47"/>
  <c r="G68" i="47"/>
  <c r="G69" i="47"/>
  <c r="G70" i="47"/>
  <c r="G71" i="47"/>
  <c r="G72" i="47"/>
  <c r="G73" i="47"/>
  <c r="G74" i="47"/>
  <c r="G75" i="47"/>
  <c r="G76" i="47"/>
  <c r="G77" i="47"/>
  <c r="G78" i="47"/>
  <c r="G79" i="47"/>
  <c r="G80" i="47"/>
  <c r="G81" i="47"/>
  <c r="G82" i="47"/>
  <c r="G83" i="47"/>
  <c r="G84" i="47"/>
  <c r="G85" i="47"/>
  <c r="G86" i="47"/>
  <c r="G87" i="47"/>
  <c r="G88" i="47"/>
  <c r="G89" i="47"/>
  <c r="G90" i="47"/>
  <c r="G91" i="47"/>
  <c r="G92" i="47"/>
  <c r="G93" i="47"/>
  <c r="G94" i="47"/>
  <c r="G95" i="47"/>
  <c r="G6" i="46"/>
  <c r="G9" i="46"/>
  <c r="G10" i="46"/>
  <c r="G11" i="46"/>
  <c r="G12" i="46"/>
  <c r="G13" i="46"/>
  <c r="G14" i="46"/>
  <c r="G15" i="46"/>
  <c r="G16" i="46"/>
  <c r="G17" i="46"/>
  <c r="G18" i="46"/>
  <c r="G19" i="46"/>
  <c r="G20" i="46"/>
  <c r="G21" i="46"/>
  <c r="G22" i="46"/>
  <c r="G23" i="46"/>
  <c r="G24" i="46"/>
  <c r="G25" i="46"/>
  <c r="G26" i="46"/>
  <c r="G27" i="46"/>
  <c r="G28" i="46"/>
  <c r="G29" i="46"/>
  <c r="G30" i="46"/>
  <c r="G31" i="46"/>
  <c r="G32" i="46"/>
  <c r="G33" i="46"/>
  <c r="G34" i="46"/>
  <c r="G35" i="46"/>
  <c r="G36" i="46"/>
  <c r="G37" i="46"/>
  <c r="G38" i="46"/>
  <c r="G39" i="46"/>
  <c r="G40" i="46"/>
  <c r="G41" i="46"/>
  <c r="G42" i="46"/>
  <c r="G43" i="46"/>
  <c r="G44" i="46"/>
  <c r="G45" i="46"/>
  <c r="G46" i="46"/>
  <c r="G47" i="46"/>
  <c r="G48" i="46"/>
  <c r="G49" i="46"/>
  <c r="G50" i="46"/>
  <c r="G51" i="46"/>
  <c r="G52" i="46"/>
  <c r="G53" i="46"/>
  <c r="G54" i="46"/>
  <c r="G55" i="46"/>
  <c r="G56" i="46"/>
  <c r="G57" i="46"/>
  <c r="G58" i="46"/>
  <c r="G59" i="46"/>
  <c r="G60" i="46"/>
  <c r="G61" i="46"/>
  <c r="G62" i="46"/>
  <c r="G63" i="46"/>
  <c r="G64" i="46"/>
  <c r="G65" i="46"/>
  <c r="G66" i="46"/>
  <c r="G67" i="46"/>
  <c r="G68" i="46"/>
  <c r="G69" i="46"/>
  <c r="G70" i="46"/>
  <c r="G71" i="46"/>
  <c r="G72" i="46"/>
  <c r="G73" i="46"/>
  <c r="G74" i="46"/>
  <c r="G75" i="46"/>
  <c r="G76" i="46"/>
  <c r="G77" i="46"/>
  <c r="G78" i="46"/>
  <c r="G79" i="46"/>
  <c r="G80" i="46"/>
  <c r="G81" i="46"/>
  <c r="G82" i="46"/>
  <c r="G83" i="46"/>
  <c r="G84" i="46"/>
  <c r="G85" i="46"/>
  <c r="G86" i="46"/>
  <c r="G87" i="46"/>
  <c r="G88" i="46"/>
  <c r="G89" i="46"/>
  <c r="G90" i="46"/>
  <c r="G91" i="46"/>
  <c r="G92" i="46"/>
  <c r="G93" i="46"/>
  <c r="G94" i="46"/>
  <c r="G6" i="45"/>
  <c r="G11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G32" i="45"/>
  <c r="G33" i="45"/>
  <c r="G34" i="45"/>
  <c r="G35" i="45"/>
  <c r="G36" i="45"/>
  <c r="G37" i="45"/>
  <c r="G38" i="45"/>
  <c r="G39" i="45"/>
  <c r="G40" i="45"/>
  <c r="G41" i="45"/>
  <c r="G42" i="45"/>
  <c r="G43" i="45"/>
  <c r="G44" i="45"/>
  <c r="G45" i="45"/>
  <c r="G46" i="45"/>
  <c r="G47" i="45"/>
  <c r="G48" i="45"/>
  <c r="G49" i="45"/>
  <c r="G50" i="45"/>
  <c r="G51" i="45"/>
  <c r="G52" i="45"/>
  <c r="G53" i="45"/>
  <c r="G54" i="45"/>
  <c r="G55" i="45"/>
  <c r="G56" i="45"/>
  <c r="G57" i="45"/>
  <c r="G58" i="45"/>
  <c r="G59" i="45"/>
  <c r="G60" i="45"/>
  <c r="G61" i="45"/>
  <c r="G62" i="45"/>
  <c r="G63" i="45"/>
  <c r="G64" i="45"/>
  <c r="G65" i="45"/>
  <c r="G66" i="45"/>
  <c r="G67" i="45"/>
  <c r="G68" i="45"/>
  <c r="G69" i="45"/>
  <c r="G70" i="45"/>
  <c r="G71" i="45"/>
  <c r="G72" i="45"/>
  <c r="G73" i="45"/>
  <c r="G74" i="45"/>
  <c r="G75" i="45"/>
  <c r="G76" i="45"/>
  <c r="G77" i="45"/>
  <c r="G78" i="45"/>
  <c r="G79" i="45"/>
  <c r="G80" i="45"/>
  <c r="G81" i="45"/>
  <c r="G82" i="45"/>
  <c r="G83" i="45"/>
  <c r="G84" i="45"/>
  <c r="G85" i="45"/>
  <c r="G86" i="45"/>
  <c r="G87" i="45"/>
  <c r="G88" i="45"/>
  <c r="G89" i="45"/>
  <c r="G90" i="45"/>
  <c r="G91" i="45"/>
  <c r="G92" i="45"/>
  <c r="G93" i="45"/>
  <c r="G94" i="45"/>
  <c r="G12" i="44"/>
  <c r="G16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2" i="44"/>
  <c r="G33" i="44"/>
  <c r="G34" i="44"/>
  <c r="G35" i="44"/>
  <c r="G36" i="44"/>
  <c r="G37" i="44"/>
  <c r="G38" i="44"/>
  <c r="G39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G74" i="44"/>
  <c r="G75" i="44"/>
  <c r="G76" i="44"/>
  <c r="G77" i="44"/>
  <c r="G78" i="44"/>
  <c r="G79" i="44"/>
  <c r="G80" i="44"/>
  <c r="G81" i="44"/>
  <c r="G82" i="44"/>
  <c r="G83" i="44"/>
  <c r="G84" i="44"/>
  <c r="G85" i="44"/>
  <c r="G86" i="44"/>
  <c r="G87" i="44"/>
  <c r="G88" i="44"/>
  <c r="G89" i="44"/>
  <c r="G90" i="44"/>
  <c r="G91" i="44"/>
  <c r="G92" i="44"/>
  <c r="G93" i="44"/>
  <c r="G94" i="44"/>
  <c r="G95" i="44"/>
  <c r="G96" i="44"/>
  <c r="G97" i="44"/>
  <c r="G98" i="44"/>
  <c r="G99" i="44"/>
  <c r="G100" i="44"/>
  <c r="G86" i="40"/>
  <c r="G87" i="40"/>
  <c r="G88" i="40"/>
  <c r="G89" i="40"/>
  <c r="G90" i="40"/>
  <c r="G91" i="40"/>
  <c r="G92" i="40"/>
  <c r="G93" i="40"/>
  <c r="G94" i="40"/>
  <c r="G95" i="40"/>
  <c r="G96" i="40"/>
  <c r="G97" i="40"/>
  <c r="G98" i="40"/>
  <c r="G99" i="40"/>
  <c r="G100" i="40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6" i="37"/>
  <c r="G8" i="37"/>
  <c r="G9" i="37"/>
  <c r="G10" i="37"/>
  <c r="G11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G37" i="37"/>
  <c r="G38" i="37"/>
  <c r="G39" i="37"/>
  <c r="G40" i="37"/>
  <c r="G41" i="37"/>
  <c r="G42" i="37"/>
  <c r="G43" i="37"/>
  <c r="G44" i="37"/>
  <c r="G45" i="37"/>
  <c r="G46" i="37"/>
  <c r="G47" i="37"/>
  <c r="G48" i="37"/>
  <c r="G49" i="37"/>
  <c r="G50" i="37"/>
  <c r="G51" i="37"/>
  <c r="G52" i="37"/>
  <c r="G53" i="37"/>
  <c r="G54" i="37"/>
  <c r="G55" i="37"/>
  <c r="G56" i="37"/>
  <c r="G57" i="37"/>
  <c r="G58" i="37"/>
  <c r="G59" i="37"/>
  <c r="G60" i="37"/>
  <c r="G61" i="37"/>
  <c r="G62" i="37"/>
  <c r="G63" i="37"/>
  <c r="G64" i="37"/>
  <c r="G65" i="37"/>
  <c r="G66" i="37"/>
  <c r="G67" i="37"/>
  <c r="G68" i="37"/>
  <c r="G69" i="37"/>
  <c r="G70" i="37"/>
  <c r="G71" i="37"/>
  <c r="G72" i="37"/>
  <c r="G73" i="37"/>
  <c r="G74" i="37"/>
  <c r="G75" i="37"/>
  <c r="G76" i="37"/>
  <c r="G77" i="37"/>
  <c r="G78" i="37"/>
  <c r="G79" i="37"/>
  <c r="G80" i="37"/>
  <c r="G81" i="37"/>
  <c r="G82" i="37"/>
  <c r="G83" i="37"/>
  <c r="G84" i="37"/>
  <c r="G85" i="37"/>
  <c r="G86" i="37"/>
  <c r="G87" i="37"/>
  <c r="G88" i="37"/>
  <c r="G89" i="37"/>
  <c r="G90" i="37"/>
  <c r="G91" i="37"/>
  <c r="G92" i="37"/>
  <c r="G93" i="37"/>
  <c r="G6" i="38"/>
  <c r="G9" i="38"/>
  <c r="G13" i="38"/>
  <c r="G14" i="38"/>
  <c r="G15" i="38"/>
  <c r="G16" i="38"/>
  <c r="G17" i="38"/>
  <c r="G18" i="38"/>
  <c r="G19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G37" i="38"/>
  <c r="G38" i="38"/>
  <c r="G39" i="38"/>
  <c r="G40" i="38"/>
  <c r="G41" i="38"/>
  <c r="G42" i="38"/>
  <c r="G43" i="38"/>
  <c r="G44" i="38"/>
  <c r="G45" i="38"/>
  <c r="G46" i="38"/>
  <c r="G47" i="38"/>
  <c r="G48" i="38"/>
  <c r="G49" i="38"/>
  <c r="G50" i="38"/>
  <c r="G51" i="38"/>
  <c r="G52" i="38"/>
  <c r="G53" i="38"/>
  <c r="G54" i="38"/>
  <c r="G55" i="38"/>
  <c r="G56" i="38"/>
  <c r="G57" i="38"/>
  <c r="G58" i="38"/>
  <c r="G59" i="38"/>
  <c r="G60" i="38"/>
  <c r="G61" i="38"/>
  <c r="G62" i="38"/>
  <c r="G63" i="38"/>
  <c r="G64" i="38"/>
  <c r="G65" i="38"/>
  <c r="G66" i="38"/>
  <c r="G67" i="38"/>
  <c r="G68" i="38"/>
  <c r="G69" i="38"/>
  <c r="G70" i="38"/>
  <c r="G71" i="38"/>
  <c r="G72" i="38"/>
  <c r="G73" i="38"/>
  <c r="G74" i="38"/>
  <c r="G75" i="38"/>
  <c r="G76" i="38"/>
  <c r="G77" i="38"/>
  <c r="G78" i="38"/>
  <c r="G79" i="38"/>
  <c r="G80" i="38"/>
  <c r="G81" i="38"/>
  <c r="G82" i="38"/>
  <c r="G83" i="38"/>
  <c r="G84" i="38"/>
  <c r="G85" i="38"/>
  <c r="G86" i="38"/>
  <c r="G87" i="38"/>
  <c r="G88" i="38"/>
  <c r="G89" i="38"/>
  <c r="G90" i="38"/>
  <c r="G91" i="38"/>
  <c r="G92" i="38"/>
  <c r="G93" i="38"/>
  <c r="G94" i="38"/>
  <c r="G95" i="38"/>
  <c r="G96" i="38"/>
  <c r="G6" i="39"/>
  <c r="G8" i="39"/>
  <c r="G9" i="39"/>
  <c r="G10" i="39"/>
  <c r="G37" i="39"/>
  <c r="G59" i="39"/>
  <c r="F41" i="11"/>
  <c r="V39" i="11"/>
  <c r="N60" i="11"/>
  <c r="H22" i="11"/>
  <c r="J26" i="11"/>
  <c r="T22" i="11"/>
  <c r="X22" i="11"/>
  <c r="V44" i="11"/>
  <c r="J40" i="11"/>
  <c r="T44" i="11"/>
  <c r="H20" i="11"/>
  <c r="F39" i="11"/>
  <c r="F22" i="11"/>
  <c r="L41" i="11"/>
  <c r="H11" i="11"/>
  <c r="Z22" i="11"/>
  <c r="N40" i="11"/>
  <c r="F18" i="11"/>
  <c r="J59" i="11"/>
  <c r="H44" i="11"/>
  <c r="D41" i="11"/>
  <c r="H40" i="11"/>
  <c r="X41" i="11"/>
  <c r="N22" i="11"/>
  <c r="L40" i="11"/>
  <c r="F40" i="11"/>
  <c r="H41" i="11"/>
  <c r="N38" i="11"/>
  <c r="N41" i="11"/>
  <c r="D18" i="11"/>
  <c r="L43" i="11"/>
  <c r="D22" i="11"/>
  <c r="H38" i="11"/>
  <c r="V22" i="11"/>
  <c r="Z39" i="11"/>
  <c r="D11" i="11"/>
  <c r="P40" i="11"/>
  <c r="F11" i="11"/>
  <c r="T41" i="11"/>
  <c r="N11" i="11"/>
  <c r="L22" i="11"/>
  <c r="F38" i="11"/>
  <c r="AC60" i="11" l="1"/>
  <c r="Z37" i="11"/>
  <c r="X37" i="11"/>
  <c r="AC39" i="11"/>
  <c r="V37" i="11"/>
  <c r="T37" i="11"/>
  <c r="AC43" i="11"/>
  <c r="D37" i="11"/>
  <c r="AC40" i="11"/>
  <c r="AC41" i="11"/>
  <c r="AC44" i="11"/>
  <c r="AC20" i="11"/>
  <c r="P37" i="11"/>
  <c r="L37" i="11"/>
  <c r="J37" i="11"/>
  <c r="AC22" i="11"/>
  <c r="N37" i="11"/>
  <c r="H37" i="11"/>
  <c r="AC18" i="11"/>
  <c r="AC38" i="11"/>
  <c r="F37" i="11"/>
  <c r="AC11" i="11"/>
  <c r="AB37" i="11"/>
  <c r="I58" i="11"/>
  <c r="I52" i="11"/>
  <c r="I45" i="11"/>
  <c r="I33" i="11"/>
  <c r="I28" i="11"/>
  <c r="I24" i="11"/>
  <c r="F4" i="38"/>
  <c r="F3" i="38"/>
  <c r="F2" i="38"/>
  <c r="G4" i="38"/>
  <c r="G3" i="38"/>
  <c r="G2" i="38"/>
  <c r="G4" i="37"/>
  <c r="G3" i="37"/>
  <c r="G2" i="37"/>
  <c r="F4" i="37"/>
  <c r="F3" i="37"/>
  <c r="F2" i="37"/>
  <c r="F4" i="47"/>
  <c r="F3" i="47"/>
  <c r="F2" i="47"/>
  <c r="G4" i="47"/>
  <c r="G3" i="47"/>
  <c r="G2" i="47"/>
  <c r="F4" i="46"/>
  <c r="F3" i="46"/>
  <c r="F2" i="46"/>
  <c r="G4" i="46"/>
  <c r="G3" i="46"/>
  <c r="G2" i="46"/>
  <c r="H3" i="46"/>
  <c r="H4" i="46"/>
  <c r="G2" i="45"/>
  <c r="G3" i="45"/>
  <c r="G4" i="45"/>
  <c r="F4" i="45"/>
  <c r="F3" i="45"/>
  <c r="F2" i="45"/>
  <c r="H4" i="44"/>
  <c r="H3" i="44"/>
  <c r="G4" i="44"/>
  <c r="G3" i="44"/>
  <c r="G2" i="44"/>
  <c r="F4" i="43"/>
  <c r="F3" i="43"/>
  <c r="F2" i="43"/>
  <c r="G4" i="43"/>
  <c r="G3" i="43"/>
  <c r="G2" i="43"/>
  <c r="G4" i="42"/>
  <c r="G3" i="42"/>
  <c r="G2" i="42"/>
  <c r="F4" i="42"/>
  <c r="F3" i="42"/>
  <c r="F2" i="42"/>
  <c r="F4" i="41"/>
  <c r="F3" i="41"/>
  <c r="F2" i="41"/>
  <c r="G4" i="41"/>
  <c r="G3" i="41"/>
  <c r="G2" i="41"/>
  <c r="F2" i="40"/>
  <c r="F4" i="40"/>
  <c r="F3" i="40"/>
  <c r="G4" i="40"/>
  <c r="G3" i="40"/>
  <c r="G2" i="40"/>
  <c r="F4" i="39"/>
  <c r="F3" i="39"/>
  <c r="F2" i="39"/>
  <c r="H4" i="13"/>
  <c r="H3" i="13"/>
  <c r="F2" i="13"/>
  <c r="G4" i="13"/>
  <c r="AA58" i="11"/>
  <c r="AA52" i="11"/>
  <c r="H4" i="47"/>
  <c r="H3" i="47"/>
  <c r="H4" i="45"/>
  <c r="H3" i="45"/>
  <c r="F4" i="44"/>
  <c r="F3" i="44"/>
  <c r="F2" i="44"/>
  <c r="H4" i="43"/>
  <c r="H3" i="43"/>
  <c r="H4" i="42"/>
  <c r="H3" i="42"/>
  <c r="H4" i="41"/>
  <c r="H3" i="41"/>
  <c r="H4" i="40"/>
  <c r="H3" i="40"/>
  <c r="H4" i="39"/>
  <c r="H3" i="39"/>
  <c r="H4" i="38"/>
  <c r="H3" i="38"/>
  <c r="H4" i="37"/>
  <c r="H3" i="37"/>
  <c r="F4" i="13"/>
  <c r="F3" i="13"/>
  <c r="F31" i="11"/>
  <c r="G25" i="11"/>
  <c r="D48" i="11"/>
  <c r="E66" i="11"/>
  <c r="E51" i="11"/>
  <c r="D49" i="11"/>
  <c r="Q21" i="11"/>
  <c r="J12" i="11"/>
  <c r="O66" i="11"/>
  <c r="F57" i="11"/>
  <c r="G50" i="11"/>
  <c r="N21" i="11"/>
  <c r="W66" i="11"/>
  <c r="L66" i="11"/>
  <c r="H26" i="11"/>
  <c r="D17" i="11"/>
  <c r="G32" i="11"/>
  <c r="H35" i="11"/>
  <c r="T12" i="11"/>
  <c r="C21" i="11"/>
  <c r="G17" i="11"/>
  <c r="D36" i="11"/>
  <c r="H47" i="11"/>
  <c r="G66" i="11"/>
  <c r="H57" i="11"/>
  <c r="F55" i="11"/>
  <c r="W21" i="11"/>
  <c r="X21" i="11"/>
  <c r="V12" i="11"/>
  <c r="E59" i="11"/>
  <c r="F49" i="11"/>
  <c r="L17" i="11"/>
  <c r="D54" i="11"/>
  <c r="G36" i="11"/>
  <c r="H31" i="11"/>
  <c r="G59" i="11"/>
  <c r="G57" i="11"/>
  <c r="Z21" i="11"/>
  <c r="S17" i="11"/>
  <c r="F47" i="11"/>
  <c r="D12" i="11"/>
  <c r="H29" i="11"/>
  <c r="G35" i="11"/>
  <c r="G56" i="11"/>
  <c r="E57" i="11"/>
  <c r="J17" i="11"/>
  <c r="Q17" i="11"/>
  <c r="Q12" i="11"/>
  <c r="H12" i="11"/>
  <c r="X17" i="11"/>
  <c r="G26" i="11"/>
  <c r="H61" i="11"/>
  <c r="H51" i="11"/>
  <c r="Z12" i="11"/>
  <c r="F46" i="11"/>
  <c r="F21" i="11"/>
  <c r="G21" i="11"/>
  <c r="F66" i="11"/>
  <c r="M66" i="11"/>
  <c r="Z17" i="11"/>
  <c r="D61" i="11"/>
  <c r="D53" i="11"/>
  <c r="V66" i="11"/>
  <c r="O21" i="11"/>
  <c r="D31" i="11"/>
  <c r="R66" i="11"/>
  <c r="M21" i="11"/>
  <c r="H53" i="11"/>
  <c r="E25" i="11"/>
  <c r="H34" i="11"/>
  <c r="H36" i="11"/>
  <c r="F36" i="11"/>
  <c r="D25" i="11"/>
  <c r="Q66" i="11"/>
  <c r="E29" i="11"/>
  <c r="E46" i="11"/>
  <c r="E34" i="11"/>
  <c r="D27" i="11"/>
  <c r="E50" i="11"/>
  <c r="H25" i="11"/>
  <c r="S12" i="11"/>
  <c r="F17" i="11"/>
  <c r="O12" i="11"/>
  <c r="G54" i="11"/>
  <c r="X66" i="11"/>
  <c r="D21" i="11"/>
  <c r="E35" i="11"/>
  <c r="Y12" i="11"/>
  <c r="O17" i="11"/>
  <c r="K66" i="11"/>
  <c r="G55" i="11"/>
  <c r="G49" i="11"/>
  <c r="P21" i="11"/>
  <c r="G27" i="11"/>
  <c r="N12" i="11"/>
  <c r="G61" i="11"/>
  <c r="K17" i="11"/>
  <c r="F34" i="11"/>
  <c r="F12" i="11"/>
  <c r="D50" i="11"/>
  <c r="E12" i="11"/>
  <c r="D57" i="11"/>
  <c r="Z66" i="11"/>
  <c r="C29" i="11"/>
  <c r="L21" i="11"/>
  <c r="U17" i="11"/>
  <c r="L12" i="11"/>
  <c r="D30" i="11"/>
  <c r="H17" i="11"/>
  <c r="C66" i="11"/>
  <c r="X12" i="11"/>
  <c r="E21" i="11"/>
  <c r="G48" i="11"/>
  <c r="H48" i="11"/>
  <c r="F32" i="11"/>
  <c r="C32" i="11"/>
  <c r="I17" i="11"/>
  <c r="E26" i="11"/>
  <c r="E49" i="11"/>
  <c r="T21" i="11"/>
  <c r="G23" i="11"/>
  <c r="D35" i="11"/>
  <c r="U66" i="11"/>
  <c r="V21" i="11"/>
  <c r="F48" i="11"/>
  <c r="G30" i="11"/>
  <c r="D34" i="11"/>
  <c r="F53" i="11"/>
  <c r="R21" i="11"/>
  <c r="E32" i="11"/>
  <c r="Y17" i="11"/>
  <c r="E36" i="11"/>
  <c r="P17" i="11"/>
  <c r="W12" i="11"/>
  <c r="F61" i="11"/>
  <c r="H66" i="11"/>
  <c r="U21" i="11"/>
  <c r="H55" i="11"/>
  <c r="E31" i="11"/>
  <c r="H59" i="11"/>
  <c r="W17" i="11"/>
  <c r="F54" i="11"/>
  <c r="N17" i="11"/>
  <c r="U12" i="11"/>
  <c r="I21" i="11"/>
  <c r="H27" i="11"/>
  <c r="D56" i="11"/>
  <c r="T66" i="11"/>
  <c r="F35" i="11"/>
  <c r="D32" i="11"/>
  <c r="S66" i="11"/>
  <c r="H30" i="11"/>
  <c r="F25" i="11"/>
  <c r="S21" i="11"/>
  <c r="M17" i="11"/>
  <c r="C30" i="11"/>
  <c r="G31" i="11"/>
  <c r="E61" i="11"/>
  <c r="H56" i="11"/>
  <c r="N66" i="11"/>
  <c r="T17" i="11"/>
  <c r="H21" i="11"/>
  <c r="G34" i="11"/>
  <c r="J21" i="11"/>
  <c r="G12" i="11"/>
  <c r="H50" i="11"/>
  <c r="P66" i="11"/>
  <c r="E53" i="11"/>
  <c r="C17" i="11"/>
  <c r="D47" i="11"/>
  <c r="H32" i="11"/>
  <c r="H54" i="11"/>
  <c r="F59" i="11"/>
  <c r="E47" i="11"/>
  <c r="E27" i="11"/>
  <c r="H49" i="11"/>
  <c r="G51" i="11"/>
  <c r="E54" i="11"/>
  <c r="F26" i="11"/>
  <c r="K21" i="11"/>
  <c r="H46" i="11"/>
  <c r="G47" i="11"/>
  <c r="D59" i="11"/>
  <c r="F27" i="11"/>
  <c r="I66" i="11"/>
  <c r="I12" i="11"/>
  <c r="E30" i="11"/>
  <c r="E48" i="11"/>
  <c r="G46" i="11"/>
  <c r="C25" i="11"/>
  <c r="K12" i="11"/>
  <c r="Y66" i="11"/>
  <c r="F30" i="11"/>
  <c r="M12" i="11"/>
  <c r="Y21" i="11"/>
  <c r="F50" i="11"/>
  <c r="R12" i="11"/>
  <c r="F56" i="11"/>
  <c r="G53" i="11"/>
  <c r="D26" i="11"/>
  <c r="F51" i="11"/>
  <c r="D29" i="11"/>
  <c r="D51" i="11"/>
  <c r="D46" i="11"/>
  <c r="V17" i="11"/>
  <c r="G29" i="11"/>
  <c r="D55" i="11"/>
  <c r="F29" i="11"/>
  <c r="C12" i="11"/>
  <c r="R17" i="11"/>
  <c r="E56" i="11"/>
  <c r="P12" i="11"/>
  <c r="E17" i="11"/>
  <c r="E55" i="11"/>
  <c r="AC37" i="11" l="1"/>
  <c r="D52" i="11"/>
  <c r="E52" i="11"/>
  <c r="E28" i="11"/>
  <c r="AC12" i="11"/>
  <c r="D28" i="11"/>
  <c r="E24" i="11"/>
  <c r="D33" i="11"/>
  <c r="G45" i="11"/>
  <c r="AC21" i="11"/>
  <c r="AB21" i="11"/>
  <c r="G58" i="11"/>
  <c r="G33" i="11"/>
  <c r="G28" i="11"/>
  <c r="E33" i="11"/>
  <c r="AB12" i="11"/>
  <c r="AB17" i="11"/>
  <c r="D45" i="11"/>
  <c r="G52" i="11"/>
  <c r="AC17" i="11"/>
  <c r="G24" i="11"/>
  <c r="E58" i="11"/>
  <c r="E45" i="11"/>
  <c r="D58" i="11"/>
  <c r="D24" i="11"/>
  <c r="G4" i="39"/>
  <c r="G2" i="39"/>
  <c r="G3" i="39"/>
  <c r="G2" i="13"/>
  <c r="G3" i="13"/>
  <c r="Q30" i="11"/>
  <c r="Y32" i="11"/>
  <c r="N49" i="11"/>
  <c r="Q57" i="11"/>
  <c r="R59" i="11"/>
  <c r="V25" i="11"/>
  <c r="M49" i="11"/>
  <c r="M30" i="11"/>
  <c r="C35" i="11"/>
  <c r="R32" i="11"/>
  <c r="P15" i="11"/>
  <c r="K27" i="11"/>
  <c r="U31" i="11"/>
  <c r="P32" i="11"/>
  <c r="P31" i="11"/>
  <c r="T29" i="11"/>
  <c r="P14" i="11"/>
  <c r="E16" i="11"/>
  <c r="C19" i="11"/>
  <c r="S49" i="11"/>
  <c r="M50" i="11"/>
  <c r="W25" i="11"/>
  <c r="V51" i="11"/>
  <c r="R50" i="11"/>
  <c r="U9" i="11"/>
  <c r="N50" i="11"/>
  <c r="S46" i="11"/>
  <c r="Z8" i="11"/>
  <c r="C31" i="11"/>
  <c r="G9" i="11"/>
  <c r="P10" i="11"/>
  <c r="T26" i="11"/>
  <c r="T49" i="11"/>
  <c r="E23" i="11"/>
  <c r="U8" i="11"/>
  <c r="Z16" i="11"/>
  <c r="N46" i="11"/>
  <c r="Y59" i="11"/>
  <c r="F23" i="11"/>
  <c r="Z35" i="11"/>
  <c r="G8" i="11"/>
  <c r="K15" i="11"/>
  <c r="H8" i="11"/>
  <c r="C15" i="11"/>
  <c r="W54" i="11"/>
  <c r="W31" i="11"/>
  <c r="M59" i="11"/>
  <c r="I23" i="11"/>
  <c r="Z27" i="11"/>
  <c r="M13" i="11"/>
  <c r="W36" i="11"/>
  <c r="Z10" i="11"/>
  <c r="Z49" i="11"/>
  <c r="W30" i="11"/>
  <c r="Q56" i="11"/>
  <c r="Y27" i="11"/>
  <c r="P16" i="11"/>
  <c r="Q47" i="11"/>
  <c r="W61" i="11"/>
  <c r="W57" i="11"/>
  <c r="O55" i="11"/>
  <c r="G10" i="11"/>
  <c r="U32" i="11"/>
  <c r="N51" i="11"/>
  <c r="L53" i="11"/>
  <c r="V49" i="11"/>
  <c r="W51" i="11"/>
  <c r="F10" i="11"/>
  <c r="Y9" i="11"/>
  <c r="P51" i="11"/>
  <c r="L36" i="11"/>
  <c r="L31" i="11"/>
  <c r="P13" i="11"/>
  <c r="R25" i="11"/>
  <c r="S31" i="11"/>
  <c r="X57" i="11"/>
  <c r="Y61" i="11"/>
  <c r="U59" i="11"/>
  <c r="I9" i="11"/>
  <c r="C10" i="11"/>
  <c r="K19" i="11"/>
  <c r="Y23" i="11"/>
  <c r="J19" i="11"/>
  <c r="W55" i="11"/>
  <c r="Y26" i="11"/>
  <c r="S30" i="11"/>
  <c r="L47" i="11"/>
  <c r="R48" i="11"/>
  <c r="F15" i="11"/>
  <c r="L26" i="11"/>
  <c r="O57" i="11"/>
  <c r="V14" i="11"/>
  <c r="T56" i="11"/>
  <c r="Y13" i="11"/>
  <c r="M25" i="11"/>
  <c r="Z55" i="11"/>
  <c r="L57" i="11"/>
  <c r="U47" i="11"/>
  <c r="X26" i="11"/>
  <c r="S48" i="11"/>
  <c r="W35" i="11"/>
  <c r="W23" i="11"/>
  <c r="Z29" i="11"/>
  <c r="O25" i="11"/>
  <c r="N48" i="11"/>
  <c r="T8" i="11"/>
  <c r="Q27" i="11"/>
  <c r="U10" i="11"/>
  <c r="U35" i="11"/>
  <c r="V19" i="11"/>
  <c r="L14" i="11"/>
  <c r="R31" i="11"/>
  <c r="X51" i="11"/>
  <c r="C13" i="11"/>
  <c r="Z9" i="11"/>
  <c r="Y19" i="11"/>
  <c r="Y51" i="11"/>
  <c r="L15" i="11"/>
  <c r="V13" i="11"/>
  <c r="U56" i="11"/>
  <c r="S34" i="11"/>
  <c r="G16" i="11"/>
  <c r="H15" i="11"/>
  <c r="E8" i="11"/>
  <c r="E19" i="11"/>
  <c r="Y53" i="11"/>
  <c r="V32" i="11"/>
  <c r="N36" i="11"/>
  <c r="K51" i="11"/>
  <c r="C9" i="11"/>
  <c r="Q34" i="11"/>
  <c r="I13" i="11"/>
  <c r="O46" i="11"/>
  <c r="N47" i="11"/>
  <c r="N26" i="11"/>
  <c r="L8" i="11"/>
  <c r="R19" i="11"/>
  <c r="V36" i="11"/>
  <c r="M27" i="11"/>
  <c r="P35" i="11"/>
  <c r="O53" i="11"/>
  <c r="W47" i="11"/>
  <c r="N31" i="11"/>
  <c r="Z54" i="11"/>
  <c r="J8" i="11"/>
  <c r="S8" i="11"/>
  <c r="L56" i="11"/>
  <c r="T47" i="11"/>
  <c r="O26" i="11"/>
  <c r="K25" i="11"/>
  <c r="G13" i="11"/>
  <c r="R23" i="11"/>
  <c r="R55" i="11"/>
  <c r="X32" i="11"/>
  <c r="R49" i="11"/>
  <c r="S13" i="11"/>
  <c r="T14" i="11"/>
  <c r="K23" i="11"/>
  <c r="O50" i="11"/>
  <c r="V61" i="11"/>
  <c r="L30" i="11"/>
  <c r="N61" i="11"/>
  <c r="M8" i="11"/>
  <c r="R26" i="11"/>
  <c r="K54" i="11"/>
  <c r="Z48" i="11"/>
  <c r="X47" i="11"/>
  <c r="P46" i="11"/>
  <c r="M15" i="11"/>
  <c r="L51" i="11"/>
  <c r="T36" i="11"/>
  <c r="P56" i="11"/>
  <c r="I10" i="11"/>
  <c r="X16" i="11"/>
  <c r="X59" i="11"/>
  <c r="P8" i="11"/>
  <c r="C23" i="11"/>
  <c r="Z36" i="11"/>
  <c r="S9" i="11"/>
  <c r="O29" i="11"/>
  <c r="V35" i="11"/>
  <c r="T57" i="11"/>
  <c r="W49" i="11"/>
  <c r="O48" i="11"/>
  <c r="P59" i="11"/>
  <c r="J16" i="11"/>
  <c r="S19" i="11"/>
  <c r="S51" i="11"/>
  <c r="U19" i="11"/>
  <c r="Y14" i="11"/>
  <c r="R15" i="11"/>
  <c r="E13" i="11"/>
  <c r="S54" i="11"/>
  <c r="K57" i="11"/>
  <c r="Y34" i="11"/>
  <c r="N9" i="11"/>
  <c r="E15" i="11"/>
  <c r="S36" i="11"/>
  <c r="W26" i="11"/>
  <c r="L32" i="11"/>
  <c r="S56" i="11"/>
  <c r="Q50" i="11"/>
  <c r="P34" i="11"/>
  <c r="R57" i="11"/>
  <c r="V56" i="11"/>
  <c r="N35" i="11"/>
  <c r="T61" i="11"/>
  <c r="G15" i="11"/>
  <c r="Y55" i="11"/>
  <c r="X8" i="11"/>
  <c r="C55" i="11"/>
  <c r="X10" i="11"/>
  <c r="N10" i="11"/>
  <c r="Q14" i="11"/>
  <c r="Q16" i="11"/>
  <c r="P19" i="11"/>
  <c r="O49" i="11"/>
  <c r="Y57" i="11"/>
  <c r="D10" i="11"/>
  <c r="P48" i="11"/>
  <c r="M14" i="11"/>
  <c r="N53" i="11"/>
  <c r="Z31" i="11"/>
  <c r="O10" i="11"/>
  <c r="P49" i="11"/>
  <c r="V54" i="11"/>
  <c r="S53" i="11"/>
  <c r="L19" i="11"/>
  <c r="O27" i="11"/>
  <c r="Z57" i="11"/>
  <c r="N19" i="11"/>
  <c r="M51" i="11"/>
  <c r="K34" i="11"/>
  <c r="I19" i="11"/>
  <c r="T50" i="11"/>
  <c r="L10" i="11"/>
  <c r="R8" i="11"/>
  <c r="K13" i="11"/>
  <c r="R29" i="11"/>
  <c r="V31" i="11"/>
  <c r="T25" i="11"/>
  <c r="X27" i="11"/>
  <c r="W53" i="11"/>
  <c r="Y56" i="11"/>
  <c r="K35" i="11"/>
  <c r="T15" i="11"/>
  <c r="M48" i="11"/>
  <c r="Y50" i="11"/>
  <c r="H13" i="11"/>
  <c r="V57" i="11"/>
  <c r="E14" i="11"/>
  <c r="O13" i="11"/>
  <c r="Q13" i="11"/>
  <c r="P29" i="11"/>
  <c r="O56" i="11"/>
  <c r="V34" i="11"/>
  <c r="V8" i="11"/>
  <c r="X55" i="11"/>
  <c r="C26" i="11"/>
  <c r="K61" i="11"/>
  <c r="R61" i="11"/>
  <c r="Y16" i="11"/>
  <c r="D15" i="11"/>
  <c r="M9" i="11"/>
  <c r="U36" i="11"/>
  <c r="C46" i="11"/>
  <c r="F9" i="11"/>
  <c r="U61" i="11"/>
  <c r="X48" i="11"/>
  <c r="F14" i="11"/>
  <c r="C53" i="11"/>
  <c r="T34" i="11"/>
  <c r="S26" i="11"/>
  <c r="U30" i="11"/>
  <c r="U53" i="11"/>
  <c r="U27" i="11"/>
  <c r="T51" i="11"/>
  <c r="Y36" i="11"/>
  <c r="Z19" i="11"/>
  <c r="J13" i="11"/>
  <c r="D19" i="11"/>
  <c r="O15" i="11"/>
  <c r="L23" i="11"/>
  <c r="N55" i="11"/>
  <c r="M29" i="11"/>
  <c r="Z51" i="11"/>
  <c r="V15" i="11"/>
  <c r="O23" i="11"/>
  <c r="Y31" i="11"/>
  <c r="U26" i="11"/>
  <c r="I15" i="11"/>
  <c r="O47" i="11"/>
  <c r="R54" i="11"/>
  <c r="R13" i="11"/>
  <c r="Z26" i="11"/>
  <c r="N15" i="11"/>
  <c r="O8" i="11"/>
  <c r="U15" i="11"/>
  <c r="C54" i="11"/>
  <c r="W27" i="11"/>
  <c r="D8" i="11"/>
  <c r="P53" i="11"/>
  <c r="P57" i="11"/>
  <c r="U55" i="11"/>
  <c r="D9" i="11"/>
  <c r="M16" i="11"/>
  <c r="W19" i="11"/>
  <c r="T35" i="11"/>
  <c r="Q8" i="11"/>
  <c r="P47" i="11"/>
  <c r="K10" i="11"/>
  <c r="S55" i="11"/>
  <c r="Z61" i="11"/>
  <c r="K59" i="11"/>
  <c r="W10" i="11"/>
  <c r="L61" i="11"/>
  <c r="M10" i="11"/>
  <c r="C61" i="11"/>
  <c r="O32" i="11"/>
  <c r="Z50" i="11"/>
  <c r="R36" i="11"/>
  <c r="C14" i="11"/>
  <c r="V23" i="11"/>
  <c r="J14" i="11"/>
  <c r="K36" i="11"/>
  <c r="U48" i="11"/>
  <c r="E9" i="11"/>
  <c r="P61" i="11"/>
  <c r="C34" i="11"/>
  <c r="C56" i="11"/>
  <c r="L55" i="11"/>
  <c r="H14" i="11"/>
  <c r="L27" i="11"/>
  <c r="C51" i="11"/>
  <c r="Z34" i="11"/>
  <c r="V9" i="11"/>
  <c r="N14" i="11"/>
  <c r="M19" i="11"/>
  <c r="K9" i="11"/>
  <c r="Q55" i="11"/>
  <c r="L54" i="11"/>
  <c r="S23" i="11"/>
  <c r="G14" i="11"/>
  <c r="V29" i="11"/>
  <c r="L48" i="11"/>
  <c r="L35" i="11"/>
  <c r="I16" i="11"/>
  <c r="X23" i="11"/>
  <c r="C48" i="11"/>
  <c r="X15" i="11"/>
  <c r="U49" i="11"/>
  <c r="T9" i="11"/>
  <c r="K56" i="11"/>
  <c r="Q35" i="11"/>
  <c r="L9" i="11"/>
  <c r="P9" i="11"/>
  <c r="S25" i="11"/>
  <c r="J15" i="11"/>
  <c r="Y35" i="11"/>
  <c r="D66" i="11"/>
  <c r="N13" i="11"/>
  <c r="S57" i="11"/>
  <c r="D23" i="11"/>
  <c r="X50" i="11"/>
  <c r="S47" i="11"/>
  <c r="W14" i="11"/>
  <c r="O35" i="11"/>
  <c r="Q61" i="11"/>
  <c r="Q10" i="11"/>
  <c r="V30" i="11"/>
  <c r="M23" i="11"/>
  <c r="Q9" i="11"/>
  <c r="X46" i="11"/>
  <c r="V46" i="11"/>
  <c r="N32" i="11"/>
  <c r="X13" i="11"/>
  <c r="Z13" i="11"/>
  <c r="Q23" i="11"/>
  <c r="D14" i="11"/>
  <c r="X31" i="11"/>
  <c r="C8" i="11"/>
  <c r="T55" i="11"/>
  <c r="K8" i="11"/>
  <c r="R53" i="11"/>
  <c r="T53" i="11"/>
  <c r="C16" i="11"/>
  <c r="W50" i="11"/>
  <c r="Q32" i="11"/>
  <c r="P55" i="11"/>
  <c r="C27" i="11"/>
  <c r="O9" i="11"/>
  <c r="Q54" i="11"/>
  <c r="M32" i="11"/>
  <c r="Z53" i="11"/>
  <c r="Q59" i="11"/>
  <c r="Y25" i="11"/>
  <c r="N8" i="11"/>
  <c r="H23" i="11"/>
  <c r="R51" i="11"/>
  <c r="X25" i="11"/>
  <c r="X56" i="11"/>
  <c r="M46" i="11"/>
  <c r="E10" i="11"/>
  <c r="Q36" i="11"/>
  <c r="W46" i="11"/>
  <c r="L59" i="11"/>
  <c r="W32" i="11"/>
  <c r="X35" i="11"/>
  <c r="M55" i="11"/>
  <c r="V47" i="11"/>
  <c r="M57" i="11"/>
  <c r="Y48" i="11"/>
  <c r="O19" i="11"/>
  <c r="V48" i="11"/>
  <c r="O54" i="11"/>
  <c r="T23" i="11"/>
  <c r="K55" i="11"/>
  <c r="N57" i="11"/>
  <c r="O34" i="11"/>
  <c r="M31" i="11"/>
  <c r="S10" i="11"/>
  <c r="K31" i="11"/>
  <c r="W9" i="11"/>
  <c r="V16" i="11"/>
  <c r="U29" i="11"/>
  <c r="G19" i="11"/>
  <c r="V50" i="11"/>
  <c r="P23" i="11"/>
  <c r="Y8" i="11"/>
  <c r="R9" i="11"/>
  <c r="U54" i="11"/>
  <c r="Y15" i="11"/>
  <c r="D13" i="11"/>
  <c r="U25" i="11"/>
  <c r="Z30" i="11"/>
  <c r="T13" i="11"/>
  <c r="N34" i="11"/>
  <c r="Q19" i="11"/>
  <c r="Z46" i="11"/>
  <c r="P36" i="11"/>
  <c r="L50" i="11"/>
  <c r="M54" i="11"/>
  <c r="Q26" i="11"/>
  <c r="M47" i="11"/>
  <c r="R56" i="11"/>
  <c r="Z59" i="11"/>
  <c r="S16" i="11"/>
  <c r="V59" i="11"/>
  <c r="L13" i="11"/>
  <c r="N30" i="11"/>
  <c r="M34" i="11"/>
  <c r="F16" i="11"/>
  <c r="U57" i="11"/>
  <c r="U14" i="11"/>
  <c r="U46" i="11"/>
  <c r="R46" i="11"/>
  <c r="V10" i="11"/>
  <c r="L29" i="11"/>
  <c r="Q31" i="11"/>
  <c r="T54" i="11"/>
  <c r="R27" i="11"/>
  <c r="T10" i="11"/>
  <c r="Y29" i="11"/>
  <c r="L49" i="11"/>
  <c r="O36" i="11"/>
  <c r="Y30" i="11"/>
  <c r="Q51" i="11"/>
  <c r="P50" i="11"/>
  <c r="H9" i="11"/>
  <c r="C36" i="11"/>
  <c r="S61" i="11"/>
  <c r="J10" i="11"/>
  <c r="R14" i="11"/>
  <c r="Q46" i="11"/>
  <c r="T19" i="11"/>
  <c r="K46" i="11"/>
  <c r="Q48" i="11"/>
  <c r="O30" i="11"/>
  <c r="R47" i="11"/>
  <c r="K14" i="11"/>
  <c r="W48" i="11"/>
  <c r="N56" i="11"/>
  <c r="N23" i="11"/>
  <c r="F8" i="11"/>
  <c r="N27" i="11"/>
  <c r="O51" i="11"/>
  <c r="K30" i="11"/>
  <c r="N16" i="11"/>
  <c r="Z14" i="11"/>
  <c r="Z47" i="11"/>
  <c r="Q53" i="11"/>
  <c r="H10" i="11"/>
  <c r="C57" i="11"/>
  <c r="X49" i="11"/>
  <c r="Z56" i="11"/>
  <c r="O31" i="11"/>
  <c r="F13" i="11"/>
  <c r="Q15" i="11"/>
  <c r="Q29" i="11"/>
  <c r="M35" i="11"/>
  <c r="V55" i="11"/>
  <c r="X54" i="11"/>
  <c r="W8" i="11"/>
  <c r="U51" i="11"/>
  <c r="V53" i="11"/>
  <c r="R30" i="11"/>
  <c r="I14" i="11"/>
  <c r="X61" i="11"/>
  <c r="X53" i="11"/>
  <c r="T16" i="11"/>
  <c r="W34" i="11"/>
  <c r="S27" i="11"/>
  <c r="V27" i="11"/>
  <c r="P26" i="11"/>
  <c r="M53" i="11"/>
  <c r="P54" i="11"/>
  <c r="X36" i="11"/>
  <c r="S50" i="11"/>
  <c r="T46" i="11"/>
  <c r="I8" i="11"/>
  <c r="O14" i="11"/>
  <c r="S29" i="11"/>
  <c r="K29" i="11"/>
  <c r="T59" i="11"/>
  <c r="N25" i="11"/>
  <c r="X14" i="11"/>
  <c r="Y54" i="11"/>
  <c r="K53" i="11"/>
  <c r="R16" i="11"/>
  <c r="X30" i="11"/>
  <c r="U16" i="11"/>
  <c r="P25" i="11"/>
  <c r="U50" i="11"/>
  <c r="D16" i="11"/>
  <c r="X19" i="11"/>
  <c r="X34" i="11"/>
  <c r="J23" i="11"/>
  <c r="N59" i="11"/>
  <c r="S14" i="11"/>
  <c r="J9" i="11"/>
  <c r="W13" i="11"/>
  <c r="K47" i="11"/>
  <c r="C50" i="11"/>
  <c r="F19" i="11"/>
  <c r="W59" i="11"/>
  <c r="S15" i="11"/>
  <c r="K49" i="11"/>
  <c r="M26" i="11"/>
  <c r="S35" i="11"/>
  <c r="T32" i="11"/>
  <c r="W56" i="11"/>
  <c r="C47" i="11"/>
  <c r="U34" i="11"/>
  <c r="L34" i="11"/>
  <c r="N54" i="11"/>
  <c r="P27" i="11"/>
  <c r="X29" i="11"/>
  <c r="K32" i="11"/>
  <c r="Y49" i="11"/>
  <c r="Y46" i="11"/>
  <c r="N29" i="11"/>
  <c r="R34" i="11"/>
  <c r="U23" i="11"/>
  <c r="L16" i="11"/>
  <c r="R10" i="11"/>
  <c r="Z32" i="11"/>
  <c r="K48" i="11"/>
  <c r="W16" i="11"/>
  <c r="T31" i="11"/>
  <c r="S32" i="11"/>
  <c r="Y47" i="11"/>
  <c r="T48" i="11"/>
  <c r="M61" i="11"/>
  <c r="Z25" i="11"/>
  <c r="Z23" i="11"/>
  <c r="C49" i="11"/>
  <c r="Y10" i="11"/>
  <c r="Q49" i="11"/>
  <c r="K50" i="11"/>
  <c r="J66" i="11"/>
  <c r="M36" i="11"/>
  <c r="H19" i="11"/>
  <c r="T30" i="11"/>
  <c r="O16" i="11"/>
  <c r="U13" i="11"/>
  <c r="W29" i="11"/>
  <c r="W15" i="11"/>
  <c r="Z15" i="11"/>
  <c r="M56" i="11"/>
  <c r="O59" i="11"/>
  <c r="K26" i="11"/>
  <c r="R35" i="11"/>
  <c r="T27" i="11"/>
  <c r="O61" i="11"/>
  <c r="L25" i="11"/>
  <c r="C59" i="11"/>
  <c r="K16" i="11"/>
  <c r="S59" i="11"/>
  <c r="H16" i="11"/>
  <c r="Q25" i="11"/>
  <c r="X9" i="11"/>
  <c r="V26" i="11"/>
  <c r="P30" i="11"/>
  <c r="L46" i="11"/>
  <c r="AB13" i="11" l="1"/>
  <c r="T33" i="11"/>
  <c r="J52" i="11"/>
  <c r="AC61" i="11"/>
  <c r="R7" i="11"/>
  <c r="Q24" i="11"/>
  <c r="F58" i="11"/>
  <c r="AB31" i="11"/>
  <c r="R28" i="11"/>
  <c r="N45" i="11"/>
  <c r="AC55" i="11"/>
  <c r="T45" i="11"/>
  <c r="AC35" i="11"/>
  <c r="L33" i="11"/>
  <c r="AC48" i="11"/>
  <c r="S28" i="11"/>
  <c r="AC16" i="11"/>
  <c r="M33" i="11"/>
  <c r="AB55" i="11"/>
  <c r="AC29" i="11"/>
  <c r="L7" i="11"/>
  <c r="C52" i="11"/>
  <c r="AB53" i="11"/>
  <c r="H33" i="11"/>
  <c r="W58" i="11"/>
  <c r="N24" i="11"/>
  <c r="V24" i="11"/>
  <c r="K58" i="11"/>
  <c r="R52" i="11"/>
  <c r="N28" i="11"/>
  <c r="F7" i="11"/>
  <c r="W33" i="11"/>
  <c r="AB56" i="11"/>
  <c r="Q52" i="11"/>
  <c r="AC10" i="11"/>
  <c r="J7" i="11"/>
  <c r="X52" i="11"/>
  <c r="AB57" i="11"/>
  <c r="O24" i="11"/>
  <c r="AB50" i="11"/>
  <c r="V52" i="11"/>
  <c r="H7" i="11"/>
  <c r="AC30" i="11"/>
  <c r="J24" i="11"/>
  <c r="S52" i="11"/>
  <c r="AB27" i="11"/>
  <c r="AB48" i="11"/>
  <c r="K7" i="11"/>
  <c r="AB51" i="11"/>
  <c r="Z33" i="11"/>
  <c r="W24" i="11"/>
  <c r="R58" i="11"/>
  <c r="AB9" i="11"/>
  <c r="S7" i="11"/>
  <c r="Q28" i="11"/>
  <c r="P33" i="11"/>
  <c r="Z45" i="11"/>
  <c r="AC57" i="11"/>
  <c r="AC36" i="11"/>
  <c r="Q58" i="11"/>
  <c r="M7" i="11"/>
  <c r="AB19" i="11"/>
  <c r="W45" i="11"/>
  <c r="Y33" i="11"/>
  <c r="L24" i="11"/>
  <c r="H45" i="11"/>
  <c r="AC25" i="11"/>
  <c r="F24" i="11"/>
  <c r="Y45" i="11"/>
  <c r="X7" i="11"/>
  <c r="L45" i="11"/>
  <c r="W28" i="11"/>
  <c r="N33" i="11"/>
  <c r="AC9" i="11"/>
  <c r="AB14" i="11"/>
  <c r="X45" i="11"/>
  <c r="L52" i="11"/>
  <c r="AB47" i="11"/>
  <c r="K28" i="11"/>
  <c r="L58" i="11"/>
  <c r="Z58" i="11"/>
  <c r="AB59" i="11"/>
  <c r="H24" i="11"/>
  <c r="AC13" i="11"/>
  <c r="AC26" i="11"/>
  <c r="L28" i="11"/>
  <c r="T28" i="11"/>
  <c r="S58" i="11"/>
  <c r="F33" i="11"/>
  <c r="AC34" i="11"/>
  <c r="N52" i="11"/>
  <c r="N58" i="11"/>
  <c r="AB49" i="11"/>
  <c r="K24" i="11"/>
  <c r="AC15" i="11"/>
  <c r="C28" i="11"/>
  <c r="AC54" i="11"/>
  <c r="H28" i="11"/>
  <c r="V33" i="11"/>
  <c r="AC23" i="11"/>
  <c r="U58" i="11"/>
  <c r="AC19" i="11"/>
  <c r="Q7" i="11"/>
  <c r="M45" i="11"/>
  <c r="AB10" i="11"/>
  <c r="AC46" i="11"/>
  <c r="F45" i="11"/>
  <c r="AC31" i="11"/>
  <c r="P7" i="11"/>
  <c r="O52" i="11"/>
  <c r="AB46" i="11"/>
  <c r="C45" i="11"/>
  <c r="V28" i="11"/>
  <c r="AC59" i="11"/>
  <c r="O33" i="11"/>
  <c r="M28" i="11"/>
  <c r="Y24" i="11"/>
  <c r="AC14" i="11"/>
  <c r="J33" i="11"/>
  <c r="F28" i="11"/>
  <c r="S33" i="11"/>
  <c r="AC27" i="11"/>
  <c r="K52" i="11"/>
  <c r="Y7" i="11"/>
  <c r="AC47" i="11"/>
  <c r="V45" i="11"/>
  <c r="W52" i="11"/>
  <c r="R33" i="11"/>
  <c r="R24" i="11"/>
  <c r="W7" i="11"/>
  <c r="U28" i="11"/>
  <c r="AB25" i="11"/>
  <c r="C24" i="11"/>
  <c r="P28" i="11"/>
  <c r="Y58" i="11"/>
  <c r="AB29" i="11"/>
  <c r="Y28" i="11"/>
  <c r="Z24" i="11"/>
  <c r="J45" i="11"/>
  <c r="X58" i="11"/>
  <c r="E7" i="11"/>
  <c r="E63" i="11" s="1"/>
  <c r="E68" i="11" s="1"/>
  <c r="K33" i="11"/>
  <c r="U33" i="11"/>
  <c r="N7" i="11"/>
  <c r="U45" i="11"/>
  <c r="R45" i="11"/>
  <c r="Q33" i="11"/>
  <c r="AB15" i="11"/>
  <c r="M58" i="11"/>
  <c r="AB32" i="11"/>
  <c r="AB35" i="11"/>
  <c r="X28" i="11"/>
  <c r="AB30" i="11"/>
  <c r="AB23" i="11"/>
  <c r="AC51" i="11"/>
  <c r="AB36" i="11"/>
  <c r="C7" i="11"/>
  <c r="AB8" i="11"/>
  <c r="G7" i="11"/>
  <c r="G63" i="11" s="1"/>
  <c r="G68" i="11" s="1"/>
  <c r="V58" i="11"/>
  <c r="T52" i="11"/>
  <c r="M52" i="11"/>
  <c r="Q45" i="11"/>
  <c r="O45" i="11"/>
  <c r="T58" i="11"/>
  <c r="S45" i="11"/>
  <c r="AB26" i="11"/>
  <c r="U7" i="11"/>
  <c r="T24" i="11"/>
  <c r="J28" i="11"/>
  <c r="Y52" i="11"/>
  <c r="H58" i="11"/>
  <c r="I7" i="11"/>
  <c r="I63" i="11" s="1"/>
  <c r="I68" i="11" s="1"/>
  <c r="O58" i="11"/>
  <c r="O7" i="11"/>
  <c r="S24" i="11"/>
  <c r="P45" i="11"/>
  <c r="AB54" i="11"/>
  <c r="O28" i="11"/>
  <c r="M24" i="11"/>
  <c r="C33" i="11"/>
  <c r="AB34" i="11"/>
  <c r="AC32" i="11"/>
  <c r="D7" i="11"/>
  <c r="AC8" i="11"/>
  <c r="J58" i="11"/>
  <c r="U52" i="11"/>
  <c r="V7" i="11"/>
  <c r="X33" i="11"/>
  <c r="T7" i="11"/>
  <c r="AC50" i="11"/>
  <c r="Z28" i="11"/>
  <c r="Z7" i="11"/>
  <c r="P52" i="11"/>
  <c r="AC53" i="11"/>
  <c r="F52" i="11"/>
  <c r="AB61" i="11"/>
  <c r="P58" i="11"/>
  <c r="K45" i="11"/>
  <c r="C58" i="11"/>
  <c r="X24" i="11"/>
  <c r="AB16" i="11"/>
  <c r="Z52" i="11"/>
  <c r="AC56" i="11"/>
  <c r="AC49" i="11"/>
  <c r="U24" i="11"/>
  <c r="H52" i="11"/>
  <c r="P24" i="11"/>
  <c r="D63" i="11" l="1"/>
  <c r="D68" i="11" s="1"/>
  <c r="C63" i="11"/>
  <c r="N63" i="11"/>
  <c r="N68" i="11" s="1"/>
  <c r="T63" i="11"/>
  <c r="T68" i="11" s="1"/>
  <c r="K63" i="11"/>
  <c r="K68" i="11" s="1"/>
  <c r="O63" i="11"/>
  <c r="O68" i="11" s="1"/>
  <c r="M63" i="11"/>
  <c r="M68" i="11" s="1"/>
  <c r="Q63" i="11"/>
  <c r="Q68" i="11" s="1"/>
  <c r="V63" i="11"/>
  <c r="V68" i="11" s="1"/>
  <c r="Y63" i="11"/>
  <c r="Y68" i="11" s="1"/>
  <c r="U63" i="11"/>
  <c r="U68" i="11" s="1"/>
  <c r="P63" i="11"/>
  <c r="P68" i="11" s="1"/>
  <c r="X63" i="11"/>
  <c r="X68" i="11" s="1"/>
  <c r="S63" i="11"/>
  <c r="S68" i="11" s="1"/>
  <c r="L63" i="11"/>
  <c r="L68" i="11" s="1"/>
  <c r="R63" i="11"/>
  <c r="R68" i="11" s="1"/>
  <c r="J63" i="11"/>
  <c r="J68" i="11" s="1"/>
  <c r="W63" i="11"/>
  <c r="W68" i="11" s="1"/>
  <c r="Z63" i="11"/>
  <c r="Z68" i="11" s="1"/>
  <c r="H63" i="11"/>
  <c r="H68" i="11" s="1"/>
  <c r="F63" i="11"/>
  <c r="F68" i="11" s="1"/>
  <c r="AB33" i="11"/>
  <c r="AB45" i="11"/>
  <c r="AB52" i="11"/>
  <c r="AB24" i="11"/>
  <c r="AB7" i="11"/>
  <c r="AC24" i="11"/>
  <c r="AC58" i="11"/>
  <c r="AC28" i="11"/>
  <c r="AC33" i="11"/>
  <c r="AC45" i="11"/>
  <c r="AC52" i="11"/>
  <c r="AB28" i="11"/>
  <c r="AB58" i="11"/>
  <c r="AC7" i="11"/>
  <c r="AC63" i="11" l="1"/>
  <c r="C68" i="11"/>
  <c r="AB63" i="11"/>
  <c r="AD39" i="11" l="1"/>
  <c r="AD60" i="11"/>
  <c r="AD43" i="11"/>
  <c r="AD20" i="11"/>
  <c r="AD40" i="11"/>
  <c r="AD42" i="11"/>
  <c r="AD22" i="11"/>
  <c r="AD11" i="11"/>
  <c r="AD18" i="11"/>
  <c r="AD38" i="11"/>
  <c r="AD44" i="11"/>
  <c r="AD41" i="11"/>
  <c r="AD37" i="11"/>
  <c r="AD7" i="11"/>
  <c r="AD45" i="11"/>
  <c r="AD24" i="11"/>
  <c r="AD28" i="11"/>
  <c r="AD21" i="11"/>
  <c r="AD63" i="11"/>
  <c r="AD17" i="11"/>
  <c r="AD12" i="11"/>
  <c r="AD49" i="11"/>
  <c r="AD35" i="11"/>
  <c r="AD61" i="11"/>
  <c r="AD14" i="11"/>
  <c r="AD34" i="11"/>
  <c r="AD10" i="11"/>
  <c r="AD13" i="11"/>
  <c r="AD50" i="11"/>
  <c r="AD27" i="11"/>
  <c r="AD36" i="11"/>
  <c r="AD25" i="11"/>
  <c r="AD16" i="11"/>
  <c r="AD51" i="11"/>
  <c r="AD26" i="11"/>
  <c r="AD15" i="11"/>
  <c r="AD8" i="11"/>
  <c r="AD29" i="11"/>
  <c r="AD19" i="11"/>
  <c r="AD55" i="11"/>
  <c r="AD53" i="11"/>
  <c r="AD56" i="11"/>
  <c r="AD33" i="11"/>
  <c r="AD48" i="11"/>
  <c r="AD46" i="11"/>
  <c r="AD31" i="11"/>
  <c r="AD54" i="11"/>
  <c r="AD47" i="11"/>
  <c r="AD57" i="11"/>
  <c r="AD59" i="11"/>
  <c r="AD9" i="11"/>
  <c r="AD32" i="11"/>
  <c r="AD23" i="11"/>
  <c r="AD58" i="11"/>
  <c r="AD52" i="11"/>
</calcChain>
</file>

<file path=xl/sharedStrings.xml><?xml version="1.0" encoding="utf-8"?>
<sst xmlns="http://schemas.openxmlformats.org/spreadsheetml/2006/main" count="810" uniqueCount="240">
  <si>
    <t>Formación</t>
  </si>
  <si>
    <t>Transporte</t>
  </si>
  <si>
    <t>Salud</t>
  </si>
  <si>
    <t>Agua</t>
  </si>
  <si>
    <t>Luz</t>
  </si>
  <si>
    <t>Muebles</t>
  </si>
  <si>
    <t>Vivienda</t>
  </si>
  <si>
    <t>Farmacia</t>
  </si>
  <si>
    <t>Impuestos</t>
  </si>
  <si>
    <t>Limpieza</t>
  </si>
  <si>
    <t xml:space="preserve">Gas </t>
  </si>
  <si>
    <t>Ocio</t>
  </si>
  <si>
    <t>Reparaciones</t>
  </si>
  <si>
    <t>DETALLE</t>
  </si>
  <si>
    <t>Gastos_Fijos</t>
  </si>
  <si>
    <t>ENERO</t>
  </si>
  <si>
    <t>FEBRERO</t>
  </si>
  <si>
    <t>MARZO</t>
  </si>
  <si>
    <t>ABRIL</t>
  </si>
  <si>
    <t>DICIEMBRE</t>
  </si>
  <si>
    <t>MAYO</t>
  </si>
  <si>
    <t>JUNIO</t>
  </si>
  <si>
    <t>JULIO</t>
  </si>
  <si>
    <t>AGOSTO</t>
  </si>
  <si>
    <t>SEPTIEMBRE</t>
  </si>
  <si>
    <t>OCTUBRE</t>
  </si>
  <si>
    <t>NOVIEMBRE</t>
  </si>
  <si>
    <t>Cuidado Personal</t>
  </si>
  <si>
    <t>Electrodomésticos</t>
  </si>
  <si>
    <t>T - Otros</t>
  </si>
  <si>
    <t>V - Otros</t>
  </si>
  <si>
    <t>O - Otros</t>
  </si>
  <si>
    <t>G - Otros</t>
  </si>
  <si>
    <t>Supermercado</t>
  </si>
  <si>
    <t xml:space="preserve">Detalle de Gastos </t>
  </si>
  <si>
    <t>CATEGORÍA</t>
  </si>
  <si>
    <t>SUBCATEGORÍA</t>
  </si>
  <si>
    <t>FECHA</t>
  </si>
  <si>
    <t>Celular</t>
  </si>
  <si>
    <t>Obra Social</t>
  </si>
  <si>
    <t>Gimnasio</t>
  </si>
  <si>
    <t>I - Otros</t>
  </si>
  <si>
    <t>GASTOS TOTALES POR MES</t>
  </si>
  <si>
    <t>F - Otros</t>
  </si>
  <si>
    <t xml:space="preserve">Control </t>
  </si>
  <si>
    <t>Valor mes</t>
  </si>
  <si>
    <t>Categorías de Gastos</t>
  </si>
  <si>
    <t>Ingresa en la tabla las categorías y subcategorías que vas a usar para clasificar tus gastos.</t>
  </si>
  <si>
    <t>PROPORCIÓN ANUAL</t>
  </si>
  <si>
    <t>Advertencia</t>
  </si>
  <si>
    <t>GASTOS_FIJOS</t>
  </si>
  <si>
    <t>FORMACIÓN</t>
  </si>
  <si>
    <t>OCIO</t>
  </si>
  <si>
    <t>TRANSPORTE</t>
  </si>
  <si>
    <t>VIVIENDA</t>
  </si>
  <si>
    <t>SALUD</t>
  </si>
  <si>
    <t>IMPUESTOS</t>
  </si>
  <si>
    <t>Decoración</t>
  </si>
  <si>
    <t>Sa - Otros</t>
  </si>
  <si>
    <t>Total =</t>
  </si>
  <si>
    <t>Delivery</t>
  </si>
  <si>
    <t>Ayuda</t>
  </si>
  <si>
    <t>COTIZACION</t>
  </si>
  <si>
    <t>USD</t>
  </si>
  <si>
    <t>ARS</t>
  </si>
  <si>
    <t>Máximo =</t>
  </si>
  <si>
    <t>Mínimo =</t>
  </si>
  <si>
    <t>Internet + Cable</t>
  </si>
  <si>
    <t>Salidas</t>
  </si>
  <si>
    <t>Viajes</t>
  </si>
  <si>
    <t>Sube</t>
  </si>
  <si>
    <t>Taxi</t>
  </si>
  <si>
    <t>Alquiler</t>
  </si>
  <si>
    <t>AFIP</t>
  </si>
  <si>
    <t>Entretenimiento</t>
  </si>
  <si>
    <t>Expensas</t>
  </si>
  <si>
    <t>Naranja</t>
  </si>
  <si>
    <t xml:space="preserve">TOTAL ANUAL </t>
  </si>
  <si>
    <t>Mascotas</t>
  </si>
  <si>
    <t>Mercado</t>
  </si>
  <si>
    <t>Dylan</t>
  </si>
  <si>
    <t>Spotify</t>
  </si>
  <si>
    <t>Nido de Agua</t>
  </si>
  <si>
    <t>rametta patisserie</t>
  </si>
  <si>
    <t>AFIP Dylan 2024 12</t>
  </si>
  <si>
    <t>Inversiones</t>
  </si>
  <si>
    <t>In - Otros</t>
  </si>
  <si>
    <t>INVERSIONES</t>
  </si>
  <si>
    <t>UBA</t>
  </si>
  <si>
    <t>ICETEX</t>
  </si>
  <si>
    <t>Seguro Hoogax</t>
  </si>
  <si>
    <t>Rappi</t>
  </si>
  <si>
    <t>iag</t>
  </si>
  <si>
    <t>AFIP Sevann 2024 12</t>
  </si>
  <si>
    <t>Unergy</t>
  </si>
  <si>
    <t>Alquiler 2024 12</t>
  </si>
  <si>
    <t>ABL</t>
  </si>
  <si>
    <t>Contador</t>
  </si>
  <si>
    <t>TOTAL</t>
  </si>
  <si>
    <t>Dia</t>
  </si>
  <si>
    <t>Concepto</t>
  </si>
  <si>
    <t>Obra social</t>
  </si>
  <si>
    <t>Expensas 2024 12</t>
  </si>
  <si>
    <t>Metrogas 2024 12</t>
  </si>
  <si>
    <t>Edesur 2024 12</t>
  </si>
  <si>
    <t>Mantenimiento Naranja</t>
  </si>
  <si>
    <t>PRJ</t>
  </si>
  <si>
    <t>PRJ cambio de 2000</t>
  </si>
  <si>
    <t>Mercado COTO</t>
  </si>
  <si>
    <t>Carga SUBE</t>
  </si>
  <si>
    <t>McDonals</t>
  </si>
  <si>
    <t>Alquiler 2025 01</t>
  </si>
  <si>
    <t>Manija del inodoro</t>
  </si>
  <si>
    <t>Flow 2024 12</t>
  </si>
  <si>
    <t>13/01/2025</t>
  </si>
  <si>
    <t>iag cuota 2025 01</t>
  </si>
  <si>
    <t>Tabaco</t>
  </si>
  <si>
    <t>Flow personal</t>
  </si>
  <si>
    <t>febrero</t>
  </si>
  <si>
    <t>AFIP Sevann atrazados</t>
  </si>
  <si>
    <t>AFIP Dylan atrazados</t>
  </si>
  <si>
    <t>23/01/2025</t>
  </si>
  <si>
    <t>14/01/2025</t>
  </si>
  <si>
    <t>Metrogas 2025 01</t>
  </si>
  <si>
    <t>Vuelo a Bariloch</t>
  </si>
  <si>
    <t>25/01/2025</t>
  </si>
  <si>
    <t>YAKA</t>
  </si>
  <si>
    <t>Salida a traer lo de yaka</t>
  </si>
  <si>
    <t>31/01/2025</t>
  </si>
  <si>
    <t>marzo</t>
  </si>
  <si>
    <t>Alquiler 2025 02</t>
  </si>
  <si>
    <t>Cuota de seguro 1,090,305 cop</t>
  </si>
  <si>
    <t>Flow 2025 02</t>
  </si>
  <si>
    <t>13/02/2025</t>
  </si>
  <si>
    <t>14/02/2025</t>
  </si>
  <si>
    <t>17/02/2025</t>
  </si>
  <si>
    <t>PRJ 2000 usd</t>
  </si>
  <si>
    <t>Metrogas 2025 02</t>
  </si>
  <si>
    <t>19/02/2025</t>
  </si>
  <si>
    <t xml:space="preserve">Billetera </t>
  </si>
  <si>
    <t xml:space="preserve">Alquiler </t>
  </si>
  <si>
    <t>Flow</t>
  </si>
  <si>
    <t xml:space="preserve">AFIP Sevann </t>
  </si>
  <si>
    <t>Edesur</t>
  </si>
  <si>
    <t>21/02/2025</t>
  </si>
  <si>
    <t>23/02/2025</t>
  </si>
  <si>
    <t>Delivery pizza</t>
  </si>
  <si>
    <t>25/02/2025</t>
  </si>
  <si>
    <t xml:space="preserve">Contador </t>
  </si>
  <si>
    <t>27/02/2025</t>
  </si>
  <si>
    <t>Mercado local</t>
  </si>
  <si>
    <t>Naranja mes pasado</t>
  </si>
  <si>
    <t>Pedido tequenines</t>
  </si>
  <si>
    <t>Mercado DIA</t>
  </si>
  <si>
    <t>AFIP Dylan</t>
  </si>
  <si>
    <t>13/3/2025</t>
  </si>
  <si>
    <t xml:space="preserve">Mercado </t>
  </si>
  <si>
    <t>23/03/2025</t>
  </si>
  <si>
    <t>25/03/2025</t>
  </si>
  <si>
    <t>2000 usd</t>
  </si>
  <si>
    <t>Vuelos a Bariloche firmar terreno</t>
  </si>
  <si>
    <t>Mercado naranja</t>
  </si>
  <si>
    <t>Valle Azul</t>
  </si>
  <si>
    <t>Couta inicial</t>
  </si>
  <si>
    <t>Rimax</t>
  </si>
  <si>
    <t>Escribania</t>
  </si>
  <si>
    <t>Vuelo regreso</t>
  </si>
  <si>
    <t>Mercado Naranja mes pasado</t>
  </si>
  <si>
    <t>Queso</t>
  </si>
  <si>
    <t>13/04/2025</t>
  </si>
  <si>
    <t>Pizza</t>
  </si>
  <si>
    <t>15/04/2025</t>
  </si>
  <si>
    <t>16/04/2025</t>
  </si>
  <si>
    <t>18/04/2025</t>
  </si>
  <si>
    <t>Hamburguesas</t>
  </si>
  <si>
    <t>21/04/2025</t>
  </si>
  <si>
    <t>22/04/2025</t>
  </si>
  <si>
    <t>Control jockstic</t>
  </si>
  <si>
    <t>Cuota 1/6</t>
  </si>
  <si>
    <t>Cuota 2/6</t>
  </si>
  <si>
    <t>Cuota 3/6</t>
  </si>
  <si>
    <t>Cuota 4/6</t>
  </si>
  <si>
    <t>Cuota 5/6</t>
  </si>
  <si>
    <t>Cuota 6/6</t>
  </si>
  <si>
    <t>Ajuste mes pasado</t>
  </si>
  <si>
    <t xml:space="preserve">Expensas </t>
  </si>
  <si>
    <t>Metrogas mes pasado</t>
  </si>
  <si>
    <t>PRJ 2000</t>
  </si>
  <si>
    <t>Delivery subway</t>
  </si>
  <si>
    <t>Internet mayo</t>
  </si>
  <si>
    <t>19/5/2025</t>
  </si>
  <si>
    <t>20/5/2025</t>
  </si>
  <si>
    <t>Delivery mcdondalds</t>
  </si>
  <si>
    <t>23/5/2025</t>
  </si>
  <si>
    <t>COTO</t>
  </si>
  <si>
    <t>22/5/2025</t>
  </si>
  <si>
    <t>Medicamentos</t>
  </si>
  <si>
    <t>25/5/2025</t>
  </si>
  <si>
    <t>27/5/2025</t>
  </si>
  <si>
    <t>PRJ 3000 usd</t>
  </si>
  <si>
    <t>31/05/2025</t>
  </si>
  <si>
    <t>Verduleria</t>
  </si>
  <si>
    <t>Expensas mayo</t>
  </si>
  <si>
    <t>17/6/2025</t>
  </si>
  <si>
    <t>23/6/2025</t>
  </si>
  <si>
    <t>Empanadas</t>
  </si>
  <si>
    <t>26/06/2025</t>
  </si>
  <si>
    <t>Balanza</t>
  </si>
  <si>
    <t>30/06/2025</t>
  </si>
  <si>
    <t>3000 usd</t>
  </si>
  <si>
    <t>Yaka 400</t>
  </si>
  <si>
    <t>Pedidos</t>
  </si>
  <si>
    <t>Gastos con Payoneer</t>
  </si>
  <si>
    <t>Matricula</t>
  </si>
  <si>
    <t>Cuota 1/10</t>
  </si>
  <si>
    <t>Cuota 2/10</t>
  </si>
  <si>
    <t>Cuota 3/10</t>
  </si>
  <si>
    <t>Cuota 4/10</t>
  </si>
  <si>
    <t>28/07/2025</t>
  </si>
  <si>
    <t>31/07/2025</t>
  </si>
  <si>
    <t>2500 usd</t>
  </si>
  <si>
    <t>Taxi supermercado</t>
  </si>
  <si>
    <t>Contador julio y agosto</t>
  </si>
  <si>
    <t>Royal cannin</t>
  </si>
  <si>
    <t>Expensas junio y julio</t>
  </si>
  <si>
    <t>26/08/2025</t>
  </si>
  <si>
    <t>Mercado y gastos generales</t>
  </si>
  <si>
    <t>2800 usd</t>
  </si>
  <si>
    <t>General</t>
  </si>
  <si>
    <t>Galicia por transferencia de ICETEX</t>
  </si>
  <si>
    <t>Gastos varios</t>
  </si>
  <si>
    <t>20/09/2025</t>
  </si>
  <si>
    <t>22/09/2025</t>
  </si>
  <si>
    <t>Expensas Agosto</t>
  </si>
  <si>
    <t xml:space="preserve">Frutas </t>
  </si>
  <si>
    <t>16/10/2025</t>
  </si>
  <si>
    <t>29/10/2025</t>
  </si>
  <si>
    <t>15/10/2025</t>
  </si>
  <si>
    <t>30/10/2025</t>
  </si>
  <si>
    <t>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</si>
</sst>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dd/mm/yy;@"/>
    <numFmt numFmtId="165" formatCode="&quot;$&quot;#,##0.00"/>
    <numFmt numFmtId="166" formatCode="&quot;$&quot;\ #,##0.00"/>
    <numFmt numFmtId="167" formatCode="dd/mm/yy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42"/>
      <name val="Calibri"/>
      <family val="2"/>
      <scheme val="minor"/>
    </font>
    <font>
      <sz val="8"/>
      <name val="Calibri"/>
      <family val="2"/>
      <scheme val="minor"/>
    </font>
    <font>
      <sz val="8"/>
      <color indexed="9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sz val="14"/>
      <color rgb="FF14BD89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8"/>
      <color rgb="FF14BD8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4BD89"/>
        <bgColor indexed="64"/>
      </patternFill>
    </fill>
    <fill>
      <patternFill patternType="solid">
        <fgColor rgb="FFEFFEF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4BD8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slantDashDot">
        <color theme="0" tint="-4.9989318521683403E-2"/>
      </left>
      <right style="slantDashDot">
        <color theme="0" tint="-4.9989318521683403E-2"/>
      </right>
      <top style="slantDashDot">
        <color theme="0" tint="-4.9989318521683403E-2"/>
      </top>
      <bottom style="slantDashDot">
        <color theme="0" tint="-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/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medium">
        <color theme="0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64"/>
      </right>
      <top style="thin">
        <color indexed="55"/>
      </top>
      <bottom/>
      <diagonal/>
    </border>
    <border>
      <left style="slantDashDot">
        <color theme="0" tint="-4.9989318521683403E-2"/>
      </left>
      <right style="slantDashDot">
        <color theme="0" tint="-4.9989318521683403E-2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0"/>
    <xf numFmtId="44" fontId="1" fillId="0" borderId="0" applyFont="0" applyFill="0" applyBorder="0" applyAlignment="0" applyProtection="0"/>
  </cellStyleXfs>
  <cellXfs count="138">
    <xf numFmtId="0" fontId="0" fillId="0" borderId="0" xfId="0"/>
    <xf numFmtId="164" fontId="0" fillId="0" borderId="1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165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1" xfId="0" applyFont="1" applyBorder="1" applyProtection="1">
      <protection locked="0"/>
    </xf>
    <xf numFmtId="165" fontId="5" fillId="0" borderId="1" xfId="0" applyNumberFormat="1" applyFont="1" applyBorder="1" applyProtection="1">
      <protection locked="0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9" fontId="7" fillId="0" borderId="0" xfId="1" applyFont="1" applyAlignment="1">
      <alignment horizontal="center"/>
    </xf>
    <xf numFmtId="9" fontId="10" fillId="2" borderId="0" xfId="1" applyFont="1" applyFill="1" applyBorder="1" applyAlignment="1">
      <alignment horizontal="center"/>
    </xf>
    <xf numFmtId="0" fontId="13" fillId="0" borderId="0" xfId="0" applyFont="1" applyAlignment="1">
      <alignment horizontal="right" vertical="center"/>
    </xf>
    <xf numFmtId="0" fontId="0" fillId="3" borderId="0" xfId="0" applyFill="1"/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top"/>
    </xf>
    <xf numFmtId="0" fontId="17" fillId="4" borderId="0" xfId="0" applyFont="1" applyFill="1" applyAlignment="1">
      <alignment horizontal="left" vertical="center" indent="1"/>
    </xf>
    <xf numFmtId="0" fontId="5" fillId="0" borderId="0" xfId="0" applyFont="1"/>
    <xf numFmtId="0" fontId="6" fillId="0" borderId="0" xfId="0" applyFont="1"/>
    <xf numFmtId="0" fontId="18" fillId="0" borderId="2" xfId="0" applyFont="1" applyBorder="1" applyAlignment="1">
      <alignment horizontal="left" vertical="center"/>
    </xf>
    <xf numFmtId="0" fontId="11" fillId="3" borderId="0" xfId="0" applyFont="1" applyFill="1"/>
    <xf numFmtId="0" fontId="19" fillId="0" borderId="0" xfId="0" applyFont="1" applyAlignment="1">
      <alignment horizontal="right" vertical="center" wrapText="1"/>
    </xf>
    <xf numFmtId="0" fontId="22" fillId="0" borderId="0" xfId="0" applyFont="1" applyAlignment="1">
      <alignment horizontal="right"/>
    </xf>
    <xf numFmtId="165" fontId="23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 applyProtection="1">
      <alignment horizontal="center" vertical="center"/>
      <protection locked="0"/>
    </xf>
    <xf numFmtId="0" fontId="24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 vertical="center"/>
    </xf>
    <xf numFmtId="0" fontId="26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5" fillId="0" borderId="11" xfId="0" applyFont="1" applyBorder="1" applyProtection="1">
      <protection locked="0"/>
    </xf>
    <xf numFmtId="164" fontId="0" fillId="0" borderId="11" xfId="0" applyNumberFormat="1" applyBorder="1" applyAlignment="1" applyProtection="1">
      <alignment horizontal="center"/>
      <protection locked="0"/>
    </xf>
    <xf numFmtId="165" fontId="5" fillId="0" borderId="11" xfId="0" applyNumberFormat="1" applyFont="1" applyBorder="1" applyProtection="1">
      <protection locked="0"/>
    </xf>
    <xf numFmtId="9" fontId="8" fillId="7" borderId="3" xfId="1" applyFont="1" applyFill="1" applyBorder="1" applyAlignment="1">
      <alignment horizontal="center" vertical="center"/>
    </xf>
    <xf numFmtId="9" fontId="8" fillId="5" borderId="6" xfId="1" applyFont="1" applyFill="1" applyBorder="1" applyAlignment="1">
      <alignment horizontal="center" vertical="center"/>
    </xf>
    <xf numFmtId="9" fontId="7" fillId="0" borderId="0" xfId="1" applyFont="1" applyAlignment="1">
      <alignment horizontal="center" vertical="center"/>
    </xf>
    <xf numFmtId="9" fontId="28" fillId="7" borderId="3" xfId="1" applyFont="1" applyFill="1" applyBorder="1" applyAlignment="1">
      <alignment horizontal="center" vertical="center"/>
    </xf>
    <xf numFmtId="166" fontId="0" fillId="3" borderId="0" xfId="0" applyNumberFormat="1" applyFill="1"/>
    <xf numFmtId="166" fontId="0" fillId="0" borderId="0" xfId="0" applyNumberFormat="1"/>
    <xf numFmtId="166" fontId="7" fillId="0" borderId="0" xfId="0" applyNumberFormat="1" applyFont="1" applyAlignment="1">
      <alignment horizontal="center"/>
    </xf>
    <xf numFmtId="166" fontId="17" fillId="0" borderId="0" xfId="0" applyNumberFormat="1" applyFont="1" applyAlignment="1">
      <alignment horizontal="center" vertical="center"/>
    </xf>
    <xf numFmtId="166" fontId="11" fillId="3" borderId="0" xfId="0" applyNumberFormat="1" applyFont="1" applyFill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6" fontId="8" fillId="7" borderId="0" xfId="0" applyNumberFormat="1" applyFont="1" applyFill="1" applyAlignment="1">
      <alignment horizontal="center"/>
    </xf>
    <xf numFmtId="166" fontId="8" fillId="5" borderId="6" xfId="0" applyNumberFormat="1" applyFont="1" applyFill="1" applyBorder="1" applyAlignment="1">
      <alignment horizontal="center"/>
    </xf>
    <xf numFmtId="166" fontId="25" fillId="6" borderId="3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left" vertical="center" indent="1"/>
    </xf>
    <xf numFmtId="166" fontId="10" fillId="2" borderId="0" xfId="0" applyNumberFormat="1" applyFont="1" applyFill="1" applyAlignment="1">
      <alignment horizontal="center"/>
    </xf>
    <xf numFmtId="166" fontId="10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 vertical="center" wrapText="1"/>
    </xf>
    <xf numFmtId="0" fontId="7" fillId="0" borderId="0" xfId="2"/>
    <xf numFmtId="0" fontId="7" fillId="3" borderId="0" xfId="2" applyFill="1"/>
    <xf numFmtId="0" fontId="15" fillId="0" borderId="0" xfId="2" applyFont="1" applyAlignment="1">
      <alignment vertical="center"/>
    </xf>
    <xf numFmtId="0" fontId="15" fillId="0" borderId="0" xfId="2" applyFont="1" applyAlignment="1">
      <alignment vertical="top"/>
    </xf>
    <xf numFmtId="166" fontId="27" fillId="8" borderId="0" xfId="0" applyNumberFormat="1" applyFont="1" applyFill="1" applyAlignment="1">
      <alignment horizontal="center" vertical="center" wrapText="1"/>
    </xf>
    <xf numFmtId="166" fontId="27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165" fontId="30" fillId="0" borderId="1" xfId="0" applyNumberFormat="1" applyFont="1" applyBorder="1" applyProtection="1">
      <protection locked="0"/>
    </xf>
    <xf numFmtId="165" fontId="30" fillId="0" borderId="12" xfId="0" applyNumberFormat="1" applyFont="1" applyBorder="1" applyProtection="1">
      <protection locked="0"/>
    </xf>
    <xf numFmtId="165" fontId="30" fillId="0" borderId="11" xfId="0" applyNumberFormat="1" applyFont="1" applyBorder="1" applyProtection="1">
      <protection locked="0"/>
    </xf>
    <xf numFmtId="0" fontId="31" fillId="3" borderId="0" xfId="0" applyFont="1" applyFill="1" applyAlignment="1">
      <alignment horizontal="center" vertical="center"/>
    </xf>
    <xf numFmtId="0" fontId="30" fillId="0" borderId="1" xfId="0" applyFont="1" applyBorder="1" applyProtection="1">
      <protection locked="0"/>
    </xf>
    <xf numFmtId="166" fontId="20" fillId="3" borderId="0" xfId="0" applyNumberFormat="1" applyFont="1" applyFill="1" applyAlignment="1">
      <alignment horizontal="center" vertical="center" wrapText="1"/>
    </xf>
    <xf numFmtId="0" fontId="31" fillId="3" borderId="0" xfId="0" applyFont="1" applyFill="1" applyAlignment="1">
      <alignment horizontal="center"/>
    </xf>
    <xf numFmtId="166" fontId="11" fillId="3" borderId="16" xfId="0" applyNumberFormat="1" applyFont="1" applyFill="1" applyBorder="1" applyAlignment="1">
      <alignment horizontal="center" vertical="center"/>
    </xf>
    <xf numFmtId="166" fontId="11" fillId="3" borderId="10" xfId="0" applyNumberFormat="1" applyFont="1" applyFill="1" applyBorder="1" applyAlignment="1">
      <alignment horizontal="center" vertical="center"/>
    </xf>
    <xf numFmtId="167" fontId="0" fillId="0" borderId="1" xfId="0" applyNumberFormat="1" applyBorder="1" applyAlignment="1" applyProtection="1">
      <alignment horizontal="center"/>
      <protection locked="0"/>
    </xf>
    <xf numFmtId="167" fontId="11" fillId="3" borderId="0" xfId="0" applyNumberFormat="1" applyFont="1" applyFill="1" applyProtection="1">
      <protection locked="0"/>
    </xf>
    <xf numFmtId="167" fontId="3" fillId="0" borderId="0" xfId="0" applyNumberFormat="1" applyFont="1" applyAlignment="1" applyProtection="1">
      <alignment horizontal="center"/>
      <protection locked="0"/>
    </xf>
    <xf numFmtId="167" fontId="24" fillId="3" borderId="0" xfId="0" applyNumberFormat="1" applyFont="1" applyFill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6" fontId="28" fillId="7" borderId="3" xfId="0" applyNumberFormat="1" applyFont="1" applyFill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/>
    </xf>
    <xf numFmtId="166" fontId="7" fillId="0" borderId="20" xfId="0" applyNumberFormat="1" applyFont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7" fillId="4" borderId="21" xfId="0" applyFont="1" applyFill="1" applyBorder="1" applyAlignment="1">
      <alignment horizontal="left" vertical="center" indent="1"/>
    </xf>
    <xf numFmtId="166" fontId="7" fillId="0" borderId="22" xfId="0" applyNumberFormat="1" applyFont="1" applyBorder="1" applyAlignment="1">
      <alignment horizontal="center"/>
    </xf>
    <xf numFmtId="166" fontId="7" fillId="0" borderId="23" xfId="0" applyNumberFormat="1" applyFont="1" applyBorder="1" applyAlignment="1">
      <alignment horizontal="center"/>
    </xf>
    <xf numFmtId="166" fontId="7" fillId="0" borderId="24" xfId="0" applyNumberFormat="1" applyFont="1" applyBorder="1" applyAlignment="1">
      <alignment horizontal="center"/>
    </xf>
    <xf numFmtId="166" fontId="7" fillId="0" borderId="17" xfId="0" applyNumberFormat="1" applyFont="1" applyBorder="1" applyAlignment="1">
      <alignment horizontal="center"/>
    </xf>
    <xf numFmtId="166" fontId="7" fillId="0" borderId="19" xfId="0" applyNumberFormat="1" applyFont="1" applyBorder="1" applyAlignment="1">
      <alignment horizontal="center"/>
    </xf>
    <xf numFmtId="166" fontId="8" fillId="7" borderId="25" xfId="0" applyNumberFormat="1" applyFont="1" applyFill="1" applyBorder="1" applyAlignment="1">
      <alignment horizontal="center"/>
    </xf>
    <xf numFmtId="166" fontId="8" fillId="7" borderId="26" xfId="0" applyNumberFormat="1" applyFont="1" applyFill="1" applyBorder="1" applyAlignment="1">
      <alignment horizontal="center"/>
    </xf>
    <xf numFmtId="166" fontId="8" fillId="7" borderId="27" xfId="0" applyNumberFormat="1" applyFont="1" applyFill="1" applyBorder="1" applyAlignment="1">
      <alignment horizontal="center"/>
    </xf>
    <xf numFmtId="166" fontId="7" fillId="0" borderId="28" xfId="0" applyNumberFormat="1" applyFont="1" applyBorder="1" applyAlignment="1">
      <alignment horizontal="center"/>
    </xf>
    <xf numFmtId="166" fontId="7" fillId="0" borderId="29" xfId="0" applyNumberFormat="1" applyFont="1" applyBorder="1" applyAlignment="1">
      <alignment horizontal="center"/>
    </xf>
    <xf numFmtId="166" fontId="29" fillId="7" borderId="25" xfId="0" applyNumberFormat="1" applyFont="1" applyFill="1" applyBorder="1" applyAlignment="1">
      <alignment horizontal="center"/>
    </xf>
    <xf numFmtId="166" fontId="29" fillId="7" borderId="26" xfId="0" applyNumberFormat="1" applyFont="1" applyFill="1" applyBorder="1" applyAlignment="1">
      <alignment horizontal="center"/>
    </xf>
    <xf numFmtId="166" fontId="29" fillId="7" borderId="27" xfId="0" applyNumberFormat="1" applyFont="1" applyFill="1" applyBorder="1" applyAlignment="1">
      <alignment horizontal="center"/>
    </xf>
    <xf numFmtId="0" fontId="32" fillId="0" borderId="1" xfId="0" applyFont="1" applyBorder="1" applyProtection="1">
      <protection locked="0"/>
    </xf>
    <xf numFmtId="164" fontId="33" fillId="0" borderId="1" xfId="0" applyNumberFormat="1" applyFont="1" applyBorder="1" applyAlignment="1" applyProtection="1">
      <alignment horizontal="center"/>
      <protection locked="0"/>
    </xf>
    <xf numFmtId="165" fontId="32" fillId="0" borderId="1" xfId="0" applyNumberFormat="1" applyFont="1" applyBorder="1" applyProtection="1">
      <protection locked="0"/>
    </xf>
    <xf numFmtId="0" fontId="18" fillId="0" borderId="30" xfId="0" applyFont="1" applyBorder="1" applyAlignment="1">
      <alignment horizontal="left" vertical="center"/>
    </xf>
    <xf numFmtId="167" fontId="33" fillId="0" borderId="1" xfId="0" applyNumberFormat="1" applyFont="1" applyBorder="1" applyAlignment="1" applyProtection="1">
      <alignment horizontal="center"/>
      <protection locked="0"/>
    </xf>
    <xf numFmtId="0" fontId="18" fillId="0" borderId="0" xfId="0" applyFont="1" applyAlignment="1">
      <alignment horizontal="left" vertical="center"/>
    </xf>
    <xf numFmtId="0" fontId="32" fillId="0" borderId="11" xfId="0" applyFont="1" applyBorder="1" applyProtection="1">
      <protection locked="0"/>
    </xf>
    <xf numFmtId="164" fontId="33" fillId="0" borderId="11" xfId="0" applyNumberFormat="1" applyFont="1" applyBorder="1" applyAlignment="1" applyProtection="1">
      <alignment horizontal="center"/>
      <protection locked="0"/>
    </xf>
    <xf numFmtId="165" fontId="32" fillId="0" borderId="11" xfId="0" applyNumberFormat="1" applyFont="1" applyBorder="1" applyProtection="1">
      <protection locked="0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5" fillId="0" borderId="1" xfId="0" applyNumberFormat="1" applyFont="1" applyBorder="1" applyProtection="1">
      <protection locked="0"/>
    </xf>
    <xf numFmtId="44" fontId="0" fillId="0" borderId="0" xfId="3" applyFont="1"/>
    <xf numFmtId="44" fontId="0" fillId="0" borderId="0" xfId="0" applyNumberFormat="1"/>
    <xf numFmtId="44" fontId="5" fillId="0" borderId="0" xfId="3" applyFont="1" applyBorder="1" applyProtection="1">
      <protection locked="0"/>
    </xf>
    <xf numFmtId="0" fontId="5" fillId="0" borderId="0" xfId="0" applyFont="1" applyProtection="1">
      <protection locked="0"/>
    </xf>
    <xf numFmtId="0" fontId="34" fillId="0" borderId="0" xfId="0" applyFont="1" applyAlignment="1">
      <alignment horizontal="center"/>
    </xf>
    <xf numFmtId="44" fontId="34" fillId="0" borderId="0" xfId="3" applyFont="1" applyAlignment="1">
      <alignment horizontal="center"/>
    </xf>
    <xf numFmtId="0" fontId="0" fillId="0" borderId="31" xfId="0" applyBorder="1"/>
    <xf numFmtId="0" fontId="8" fillId="0" borderId="31" xfId="0" applyFont="1" applyBorder="1" applyAlignment="1" applyProtection="1">
      <alignment horizontal="right"/>
      <protection locked="0"/>
    </xf>
    <xf numFmtId="44" fontId="34" fillId="0" borderId="31" xfId="3" applyFont="1" applyBorder="1"/>
    <xf numFmtId="44" fontId="34" fillId="0" borderId="31" xfId="0" applyNumberFormat="1" applyFont="1" applyBorder="1"/>
    <xf numFmtId="44" fontId="7" fillId="0" borderId="0" xfId="3" applyFont="1"/>
    <xf numFmtId="44" fontId="7" fillId="9" borderId="0" xfId="3" applyFont="1" applyFill="1"/>
    <xf numFmtId="165" fontId="5" fillId="0" borderId="1" xfId="3" applyNumberFormat="1" applyFont="1" applyBorder="1" applyProtection="1">
      <protection locked="0"/>
    </xf>
    <xf numFmtId="164" fontId="0" fillId="10" borderId="1" xfId="0" applyNumberFormat="1" applyFill="1" applyBorder="1" applyAlignment="1" applyProtection="1">
      <alignment horizontal="center"/>
      <protection locked="0"/>
    </xf>
    <xf numFmtId="166" fontId="7" fillId="0" borderId="0" xfId="0" applyNumberFormat="1" applyFont="1" applyAlignment="1">
      <alignment horizontal="center" vertical="center"/>
    </xf>
    <xf numFmtId="166" fontId="11" fillId="3" borderId="13" xfId="0" applyNumberFormat="1" applyFont="1" applyFill="1" applyBorder="1" applyAlignment="1">
      <alignment horizontal="center" vertical="center"/>
    </xf>
    <xf numFmtId="166" fontId="11" fillId="3" borderId="9" xfId="0" applyNumberFormat="1" applyFont="1" applyFill="1" applyBorder="1" applyAlignment="1">
      <alignment horizontal="center" vertical="center"/>
    </xf>
    <xf numFmtId="166" fontId="11" fillId="3" borderId="14" xfId="0" applyNumberFormat="1" applyFont="1" applyFill="1" applyBorder="1" applyAlignment="1">
      <alignment horizontal="center" vertical="center"/>
    </xf>
    <xf numFmtId="166" fontId="20" fillId="3" borderId="7" xfId="0" applyNumberFormat="1" applyFont="1" applyFill="1" applyBorder="1" applyAlignment="1">
      <alignment horizontal="center" vertical="center" wrapText="1"/>
    </xf>
    <xf numFmtId="166" fontId="20" fillId="3" borderId="8" xfId="0" applyNumberFormat="1" applyFont="1" applyFill="1" applyBorder="1" applyAlignment="1">
      <alignment horizontal="center" vertical="center" wrapText="1"/>
    </xf>
    <xf numFmtId="1" fontId="21" fillId="4" borderId="4" xfId="0" applyNumberFormat="1" applyFont="1" applyFill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/>
    </xf>
    <xf numFmtId="1" fontId="21" fillId="4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20" fillId="3" borderId="9" xfId="0" applyNumberFormat="1" applyFont="1" applyFill="1" applyBorder="1" applyAlignment="1">
      <alignment horizontal="center" vertical="center" wrapText="1"/>
    </xf>
    <xf numFmtId="166" fontId="20" fillId="3" borderId="10" xfId="0" applyNumberFormat="1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/>
    </xf>
  </cellXfs>
  <cellStyles count="4">
    <cellStyle name="Currency" xfId="3" builtinId="4"/>
    <cellStyle name="Normal" xfId="0" builtinId="0"/>
    <cellStyle name="Normal 2" xfId="2" xr:uid="{00000000-0005-0000-0000-000001000000}"/>
    <cellStyle name="Percent" xfId="1" builtinId="5"/>
  </cellStyles>
  <dxfs count="129">
    <dxf>
      <fill>
        <patternFill>
          <bgColor rgb="FF66FF33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border outline="0">
        <bottom style="thin">
          <color indexed="2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14BD8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border outline="0">
        <bottom style="thin">
          <color indexed="2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14BD8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border outline="0">
        <bottom style="thin">
          <color indexed="2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14BD8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border outline="0">
        <bottom style="thin">
          <color indexed="2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14BD8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border outline="0">
        <bottom style="thin">
          <color indexed="2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14BD8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border outline="0">
        <bottom style="thin">
          <color indexed="2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14BD8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border outline="0">
        <bottom style="thin">
          <color indexed="2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14BD8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border outline="0">
        <bottom style="thin">
          <color indexed="2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14BD8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dd/mm/yyyy;@"/>
      <alignment horizontal="center" vertical="bottom" textRotation="0" wrapText="0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border outline="0">
        <bottom style="thin">
          <color indexed="2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14BD8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border outline="0">
        <bottom style="thin">
          <color indexed="2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14BD8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 outline="0">
        <left style="thin">
          <color indexed="23"/>
        </left>
        <right style="thin">
          <color indexed="23"/>
        </right>
        <top style="thin">
          <color indexed="2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 outline="0">
        <left style="thin">
          <color indexed="23"/>
        </left>
        <right style="thin">
          <color indexed="23"/>
        </right>
        <top style="thin">
          <color indexed="2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 outline="0">
        <left style="thin">
          <color indexed="23"/>
        </left>
        <right style="thin">
          <color indexed="23"/>
        </right>
        <top style="thin">
          <color indexed="2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 outline="0">
        <left style="thin">
          <color indexed="23"/>
        </left>
        <right style="thin">
          <color indexed="23"/>
        </right>
        <top style="thin">
          <color indexed="2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 outline="0">
        <left style="thin">
          <color indexed="23"/>
        </left>
        <right style="thin">
          <color indexed="23"/>
        </right>
        <top style="thin">
          <color indexed="2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 outline="0">
        <left style="thin">
          <color indexed="23"/>
        </left>
        <right style="thin">
          <color indexed="23"/>
        </right>
        <top style="thin">
          <color indexed="2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 outline="0">
        <left style="thin">
          <color indexed="23"/>
        </left>
        <right style="thin">
          <color indexed="23"/>
        </right>
        <top style="thin">
          <color indexed="2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border outline="0">
        <bottom style="thin">
          <color indexed="2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14BD8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165" formatCode="&quot;$&quot;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  <protection locked="0" hidden="0"/>
    </dxf>
    <dxf>
      <border outline="0">
        <bottom style="thin">
          <color indexed="2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14BD89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00FF00"/>
      <color rgb="FF52FC24"/>
      <color rgb="FFFFFFCC"/>
      <color rgb="FF66FF33"/>
      <color rgb="FF14BD89"/>
      <color rgb="FF14BD2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anillaexcel.com/plantillas?ref=spreadsheet" TargetMode="External"/><Relationship Id="rId1" Type="http://schemas.openxmlformats.org/officeDocument/2006/relationships/hyperlink" Target="https://www.planillaexcel.com/ayuda/plantillas?ref=spreadshee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152400</xdr:rowOff>
    </xdr:from>
    <xdr:to>
      <xdr:col>7</xdr:col>
      <xdr:colOff>444500</xdr:colOff>
      <xdr:row>29</xdr:row>
      <xdr:rowOff>101600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1B058EC4-1A24-4E9E-810B-362FBE5394AF}"/>
            </a:ext>
          </a:extLst>
        </xdr:cNvPr>
        <xdr:cNvSpPr txBox="1"/>
      </xdr:nvSpPr>
      <xdr:spPr>
        <a:xfrm>
          <a:off x="254000" y="1812471"/>
          <a:ext cx="8077200" cy="49729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En la plantilla de excel para Control de Gastos vas a encontrar una manera simple de poder llevar el seguimiento de sus erogaciones a un nivel muy detallado.</a:t>
          </a: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Debes especificar las categorías y subcategorías de gastos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2.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Debes completar en cada mes los gastos diarios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Resultado</a:t>
          </a: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Verás en el reporte un consolidado de los gastos a nivel mensual y anual abierto por categoría y subcategoría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88900</xdr:colOff>
      <xdr:row>0</xdr:row>
      <xdr:rowOff>114300</xdr:rowOff>
    </xdr:from>
    <xdr:to>
      <xdr:col>5</xdr:col>
      <xdr:colOff>342900</xdr:colOff>
      <xdr:row>2</xdr:row>
      <xdr:rowOff>38100</xdr:rowOff>
    </xdr:to>
    <xdr:sp macro="" textlink="">
      <xdr:nvSpPr>
        <xdr:cNvPr id="6" name="TextBox 12">
          <a:extLst>
            <a:ext uri="{FF2B5EF4-FFF2-40B4-BE49-F238E27FC236}">
              <a16:creationId xmlns:a16="http://schemas.microsoft.com/office/drawing/2014/main" id="{0568C7E7-4BA7-495D-9CC4-A439FC7BAF13}"/>
            </a:ext>
          </a:extLst>
        </xdr:cNvPr>
        <xdr:cNvSpPr txBox="1"/>
      </xdr:nvSpPr>
      <xdr:spPr>
        <a:xfrm>
          <a:off x="366486" y="114300"/>
          <a:ext cx="5326743" cy="745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Control de Gastos</a:t>
          </a:r>
        </a:p>
      </xdr:txBody>
    </xdr:sp>
    <xdr:clientData/>
  </xdr:twoCellAnchor>
  <xdr:twoCellAnchor editAs="absolute">
    <xdr:from>
      <xdr:col>9</xdr:col>
      <xdr:colOff>431800</xdr:colOff>
      <xdr:row>0</xdr:row>
      <xdr:rowOff>120650</xdr:rowOff>
    </xdr:from>
    <xdr:to>
      <xdr:col>10</xdr:col>
      <xdr:colOff>1168400</xdr:colOff>
      <xdr:row>2</xdr:row>
      <xdr:rowOff>44450</xdr:rowOff>
    </xdr:to>
    <xdr:sp macro="" textlink="">
      <xdr:nvSpPr>
        <xdr:cNvPr id="7" name="TextBox 13">
          <a:extLst>
            <a:ext uri="{FF2B5EF4-FFF2-40B4-BE49-F238E27FC236}">
              <a16:creationId xmlns:a16="http://schemas.microsoft.com/office/drawing/2014/main" id="{86216585-8C96-4D18-BA67-9DA98548071A}"/>
            </a:ext>
          </a:extLst>
        </xdr:cNvPr>
        <xdr:cNvSpPr txBox="1"/>
      </xdr:nvSpPr>
      <xdr:spPr>
        <a:xfrm>
          <a:off x="10854871" y="120650"/>
          <a:ext cx="2004786" cy="745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DCF8F0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  <xdr:twoCellAnchor>
    <xdr:from>
      <xdr:col>7</xdr:col>
      <xdr:colOff>428625</xdr:colOff>
      <xdr:row>2</xdr:row>
      <xdr:rowOff>238125</xdr:rowOff>
    </xdr:from>
    <xdr:to>
      <xdr:col>10</xdr:col>
      <xdr:colOff>1063930</xdr:colOff>
      <xdr:row>24</xdr:row>
      <xdr:rowOff>175375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23DA203B-EDA7-9729-E541-0FB6D817A8F2}"/>
            </a:ext>
          </a:extLst>
        </xdr:cNvPr>
        <xdr:cNvGrpSpPr/>
      </xdr:nvGrpSpPr>
      <xdr:grpSpPr>
        <a:xfrm>
          <a:off x="8207375" y="1050925"/>
          <a:ext cx="4388155" cy="4706100"/>
          <a:chOff x="8717264" y="1217930"/>
          <a:chExt cx="4350690" cy="4704195"/>
        </a:xfrm>
      </xdr:grpSpPr>
      <xdr:sp macro="" textlink="">
        <xdr:nvSpPr>
          <xdr:cNvPr id="9" name="TextBox 5">
            <a:extLst>
              <a:ext uri="{FF2B5EF4-FFF2-40B4-BE49-F238E27FC236}">
                <a16:creationId xmlns:a16="http://schemas.microsoft.com/office/drawing/2014/main" id="{1E27C0FE-81DD-4C51-95AD-0D17F18F1DDE}"/>
              </a:ext>
            </a:extLst>
          </xdr:cNvPr>
          <xdr:cNvSpPr txBox="1"/>
        </xdr:nvSpPr>
        <xdr:spPr>
          <a:xfrm>
            <a:off x="8717280" y="1217930"/>
            <a:ext cx="4350674" cy="4704195"/>
          </a:xfrm>
          <a:prstGeom prst="rect">
            <a:avLst/>
          </a:prstGeom>
          <a:solidFill>
            <a:srgbClr val="FBFBFB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274320" rIns="274320" bIns="274320" rtlCol="0" anchor="t"/>
          <a:lstStyle/>
          <a:p>
            <a:r>
              <a:rPr lang="en-US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Más ayuda</a:t>
            </a:r>
          </a:p>
          <a:p>
            <a:endParaRPr lang="en-US" sz="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600">
                <a:solidFill>
                  <a:schemeClr val="tx1">
                    <a:lumMod val="65000"/>
                    <a:lumOff val="35000"/>
                  </a:schemeClr>
                </a:solidFill>
              </a:rPr>
              <a:t>Si quieres saber más sobre cómo usar esta plantilla,</a:t>
            </a:r>
            <a:r>
              <a:rPr lang="en-US" sz="16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o adaptarla, extenderla o corregir algún error, sigue este link:</a:t>
            </a: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Otras plantillas</a:t>
            </a:r>
          </a:p>
          <a:p>
            <a:endParaRPr lang="en-US" sz="800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600">
                <a:solidFill>
                  <a:schemeClr val="tx1">
                    <a:lumMod val="65000"/>
                    <a:lumOff val="35000"/>
                  </a:schemeClr>
                </a:solidFill>
              </a:rPr>
              <a:t>Si esta plantilla</a:t>
            </a:r>
            <a:r>
              <a:rPr lang="en-US" sz="16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no es lo que necesitas, es posible que tengamos otra que se ajuste mejor. Aquí puedes acceder a muchas otras más:</a:t>
            </a:r>
          </a:p>
        </xdr:txBody>
      </xdr:sp>
      <xdr:sp macro="" textlink="">
        <xdr:nvSpPr>
          <xdr:cNvPr id="10" name="TextBox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E14A7D9E-7883-4FBC-B5A5-6EFEF7EC7B60}"/>
              </a:ext>
            </a:extLst>
          </xdr:cNvPr>
          <xdr:cNvSpPr txBox="1"/>
        </xdr:nvSpPr>
        <xdr:spPr>
          <a:xfrm>
            <a:off x="8717264" y="2670150"/>
            <a:ext cx="4345657" cy="4248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0" rIns="27432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="1">
                <a:solidFill>
                  <a:srgbClr val="12A779"/>
                </a:solidFill>
                <a:effectLst/>
                <a:latin typeface="+mn-lt"/>
                <a:ea typeface="+mn-ea"/>
                <a:cs typeface="+mn-cs"/>
              </a:rPr>
              <a:t>www.planillaexcel.com/ayuda/plantillas</a:t>
            </a:r>
            <a:endParaRPr lang="es-AR" sz="1600">
              <a:solidFill>
                <a:srgbClr val="12A779"/>
              </a:solidFill>
              <a:effectLst/>
            </a:endParaRPr>
          </a:p>
        </xdr:txBody>
      </xdr:sp>
      <xdr:sp macro="" textlink="">
        <xdr:nvSpPr>
          <xdr:cNvPr id="11" name="TextBox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D647DDE-4CBB-445F-AB06-551B2470CFB8}"/>
              </a:ext>
            </a:extLst>
          </xdr:cNvPr>
          <xdr:cNvSpPr txBox="1"/>
        </xdr:nvSpPr>
        <xdr:spPr>
          <a:xfrm>
            <a:off x="8722318" y="4930302"/>
            <a:ext cx="4343117" cy="3804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0" rIns="274320" bIns="0" rtlCol="0" anchor="ctr"/>
          <a:lstStyle/>
          <a:p>
            <a:r>
              <a:rPr lang="en-US" sz="1600" b="1">
                <a:solidFill>
                  <a:srgbClr val="12A779"/>
                </a:solidFill>
              </a:rPr>
              <a:t>www.planillaexcel.com/plantillas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52916</xdr:colOff>
      <xdr:row>1</xdr:row>
      <xdr:rowOff>116450</xdr:rowOff>
    </xdr:from>
    <xdr:to>
      <xdr:col>25</xdr:col>
      <xdr:colOff>764646</xdr:colOff>
      <xdr:row>2</xdr:row>
      <xdr:rowOff>349284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33734" y="312723"/>
          <a:ext cx="22671185" cy="276706"/>
          <a:chOff x="116416" y="116417"/>
          <a:chExt cx="10123281" cy="433917"/>
        </a:xfrm>
      </xdr:grpSpPr>
      <xdr:sp macro="" textlink="">
        <xdr:nvSpPr>
          <xdr:cNvPr id="6" name="TextBox 2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116416" y="149453"/>
            <a:ext cx="5228167" cy="3915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400" b="1">
                <a:solidFill>
                  <a:schemeClr val="bg1"/>
                </a:solidFill>
              </a:rPr>
              <a:t>Control de Gastos</a:t>
            </a:r>
          </a:p>
        </xdr:txBody>
      </xdr:sp>
      <xdr:sp macro="" textlink="">
        <xdr:nvSpPr>
          <xdr:cNvPr id="7" name="TextBox 3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8281780" y="116417"/>
            <a:ext cx="1957917" cy="43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1400" b="1">
                <a:solidFill>
                  <a:schemeClr val="bg1"/>
                </a:solidFill>
                <a:latin typeface="+mn-lt"/>
                <a:ea typeface="Apple Symbols" panose="02000000000000000000" pitchFamily="2" charset="-79"/>
                <a:cs typeface="Apple Symbols" panose="02000000000000000000" pitchFamily="2" charset="-79"/>
              </a:rPr>
              <a:t>PlanillaExcel.com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</xdr:row>
      <xdr:rowOff>59780</xdr:rowOff>
    </xdr:from>
    <xdr:to>
      <xdr:col>10</xdr:col>
      <xdr:colOff>0</xdr:colOff>
      <xdr:row>2</xdr:row>
      <xdr:rowOff>293671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289983" y="243224"/>
          <a:ext cx="13030906" cy="431447"/>
          <a:chOff x="116416" y="79929"/>
          <a:chExt cx="11674593" cy="433917"/>
        </a:xfrm>
      </xdr:grpSpPr>
      <xdr:sp macro="" textlink="">
        <xdr:nvSpPr>
          <xdr:cNvPr id="7" name="TextBox 2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16416" y="101097"/>
            <a:ext cx="5228167" cy="3915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400" b="1">
                <a:solidFill>
                  <a:schemeClr val="bg1"/>
                </a:solidFill>
              </a:rPr>
              <a:t>Control de Gastos</a:t>
            </a:r>
          </a:p>
        </xdr:txBody>
      </xdr:sp>
      <xdr:sp macro="" textlink="">
        <xdr:nvSpPr>
          <xdr:cNvPr id="8" name="TextBox 3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9833092" y="79929"/>
            <a:ext cx="1957917" cy="43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1400" b="1">
                <a:solidFill>
                  <a:schemeClr val="bg1"/>
                </a:solidFill>
                <a:latin typeface="+mn-lt"/>
                <a:ea typeface="Apple Symbols" panose="02000000000000000000" pitchFamily="2" charset="-79"/>
                <a:cs typeface="Apple Symbols" panose="02000000000000000000" pitchFamily="2" charset="-79"/>
              </a:rPr>
              <a:t>PlanillaExcel.com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ero" displayName="Enero" ref="B5:H99" totalsRowShown="0" headerRowDxfId="128" dataDxfId="127" tableBorderDxfId="126">
  <autoFilter ref="B5:H99" xr:uid="{00000000-0009-0000-0100-000001000000}"/>
  <tableColumns count="7">
    <tableColumn id="1" xr3:uid="{00000000-0010-0000-0000-000001000000}" name="CATEGORÍA" dataDxfId="125"/>
    <tableColumn id="2" xr3:uid="{00000000-0010-0000-0000-000002000000}" name="SUBCATEGORÍA" dataDxfId="124"/>
    <tableColumn id="3" xr3:uid="{00000000-0010-0000-0000-000003000000}" name="FECHA" dataDxfId="123"/>
    <tableColumn id="4" xr3:uid="{00000000-0010-0000-0000-000004000000}" name="DETALLE" dataDxfId="122"/>
    <tableColumn id="5" xr3:uid="{00000000-0010-0000-0000-000005000000}" name="ARS" dataDxfId="121"/>
    <tableColumn id="7" xr3:uid="{E2D06E9E-2D81-4C97-9E0B-6F8A26880549}" name="USD" dataDxfId="120">
      <calculatedColumnFormula>IF(Enero[[#This Row],[COTIZACION]]="", "", Enero[[#This Row],[ARS]]/Enero[[#This Row],[COTIZACION]])</calculatedColumnFormula>
    </tableColumn>
    <tableColumn id="8" xr3:uid="{317D8786-AB32-471D-AA25-1E23BB314621}" name="COTIZACION" dataDxfId="119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ebrero" displayName="Febrero" ref="B5:H94" totalsRowCount="1" headerRowDxfId="118" dataDxfId="117" tableBorderDxfId="116">
  <autoFilter ref="B5:H93" xr:uid="{00000000-0009-0000-0100-000002000000}"/>
  <tableColumns count="7">
    <tableColumn id="1" xr3:uid="{00000000-0010-0000-0100-000001000000}" name="CATEGORÍA" dataDxfId="115" totalsRowDxfId="114"/>
    <tableColumn id="2" xr3:uid="{00000000-0010-0000-0100-000002000000}" name="SUBCATEGORÍA" dataDxfId="113" totalsRowDxfId="112"/>
    <tableColumn id="3" xr3:uid="{00000000-0010-0000-0100-000003000000}" name="FECHA" dataDxfId="111" totalsRowDxfId="110"/>
    <tableColumn id="4" xr3:uid="{00000000-0010-0000-0100-000004000000}" name="DETALLE" dataDxfId="109" totalsRowDxfId="108"/>
    <tableColumn id="6" xr3:uid="{33F473D0-5D55-4C8D-B617-AB466ED9DC80}" name="ARS" dataDxfId="107" totalsRowDxfId="106"/>
    <tableColumn id="7" xr3:uid="{F4748262-009D-4F86-92FC-715D1A494D3C}" name="USD" dataDxfId="105" totalsRowDxfId="104">
      <calculatedColumnFormula>IF(Febrero[[#This Row],[COTIZACION]]="", "", Febrero[[#This Row],[ARS]]/Febrero[[#This Row],[COTIZACION]])</calculatedColumnFormula>
    </tableColumn>
    <tableColumn id="5" xr3:uid="{00000000-0010-0000-0100-000005000000}" name="COTIZACION" dataDxfId="103" totalsRowDxfId="10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rzo" displayName="Marzo" ref="B5:H96" totalsRowShown="0" headerRowDxfId="101" dataDxfId="100" tableBorderDxfId="99">
  <autoFilter ref="B5:H96" xr:uid="{00000000-0009-0000-0100-000003000000}"/>
  <tableColumns count="7">
    <tableColumn id="1" xr3:uid="{00000000-0010-0000-0200-000001000000}" name="CATEGORÍA" dataDxfId="98"/>
    <tableColumn id="2" xr3:uid="{00000000-0010-0000-0200-000002000000}" name="SUBCATEGORÍA" dataDxfId="97"/>
    <tableColumn id="3" xr3:uid="{00000000-0010-0000-0200-000003000000}" name="FECHA" dataDxfId="96"/>
    <tableColumn id="4" xr3:uid="{00000000-0010-0000-0200-000004000000}" name="DETALLE" dataDxfId="95"/>
    <tableColumn id="6" xr3:uid="{3286C091-60B0-429D-8683-D5E2909D7F28}" name="ARS" dataDxfId="94"/>
    <tableColumn id="7" xr3:uid="{ED413217-1DE2-4AC1-95A0-5D6E5CAF3F6E}" name="USD" dataDxfId="93">
      <calculatedColumnFormula>IF(Marzo[[#This Row],[COTIZACION]]="", "", Marzo[[#This Row],[ARS]]/Marzo[[#This Row],[COTIZACION]])</calculatedColumnFormula>
    </tableColumn>
    <tableColumn id="5" xr3:uid="{00000000-0010-0000-0200-000005000000}" name="COTIZACION" dataDxfId="9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bril" displayName="Abril" ref="B5:H59" totalsRowShown="0" headerRowDxfId="91" dataDxfId="90" tableBorderDxfId="89">
  <autoFilter ref="B5:H59" xr:uid="{00000000-0009-0000-0100-000004000000}"/>
  <tableColumns count="7">
    <tableColumn id="1" xr3:uid="{00000000-0010-0000-0300-000001000000}" name="CATEGORÍA" dataDxfId="88"/>
    <tableColumn id="2" xr3:uid="{00000000-0010-0000-0300-000002000000}" name="SUBCATEGORÍA" dataDxfId="87"/>
    <tableColumn id="3" xr3:uid="{00000000-0010-0000-0300-000003000000}" name="FECHA" dataDxfId="86"/>
    <tableColumn id="4" xr3:uid="{00000000-0010-0000-0300-000004000000}" name="DETALLE" dataDxfId="85"/>
    <tableColumn id="6" xr3:uid="{DFEC3D48-CC0E-4DD9-8BB1-49D5872E42BF}" name="ARS" dataDxfId="84"/>
    <tableColumn id="7" xr3:uid="{6F5DB0A3-A539-46AE-8A5A-958A9F75991A}" name="USD" dataDxfId="83">
      <calculatedColumnFormula>IF(Abril[[#This Row],[COTIZACION]]="", "", Abril[[#This Row],[ARS]]/Abril[[#This Row],[COTIZACION]])</calculatedColumnFormula>
    </tableColumn>
    <tableColumn id="5" xr3:uid="{00000000-0010-0000-0300-000005000000}" name="COTIZACION" dataDxfId="8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yo" displayName="Mayo" ref="B5:H100" totalsRowShown="0" headerRowDxfId="81" dataDxfId="80" tableBorderDxfId="79">
  <autoFilter ref="B5:H100" xr:uid="{00000000-0009-0000-0100-000005000000}"/>
  <tableColumns count="7">
    <tableColumn id="1" xr3:uid="{00000000-0010-0000-0400-000001000000}" name="CATEGORÍA" dataDxfId="78"/>
    <tableColumn id="2" xr3:uid="{00000000-0010-0000-0400-000002000000}" name="SUBCATEGORÍA" dataDxfId="77"/>
    <tableColumn id="3" xr3:uid="{00000000-0010-0000-0400-000003000000}" name="FECHA" dataDxfId="76"/>
    <tableColumn id="4" xr3:uid="{00000000-0010-0000-0400-000004000000}" name="DETALLE" dataDxfId="75"/>
    <tableColumn id="7" xr3:uid="{2D263556-71F0-404B-9A83-0D0940022412}" name="ARS" dataDxfId="74"/>
    <tableColumn id="8" xr3:uid="{667DC15D-E914-4A79-ABC7-5C6F85C88982}" name="USD" dataDxfId="73">
      <calculatedColumnFormula>IF(Mayo[[#This Row],[COTIZACION]]="", "", Mayo[[#This Row],[ARS]]/Mayo[[#This Row],[COTIZACION]])</calculatedColumnFormula>
    </tableColumn>
    <tableColumn id="5" xr3:uid="{00000000-0010-0000-0400-000005000000}" name="COTIZACION" dataDxfId="7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Junio" displayName="Junio" ref="B5:H79" totalsRowShown="0" headerRowDxfId="71" dataDxfId="70" tableBorderDxfId="69">
  <autoFilter ref="B5:H79" xr:uid="{00000000-0009-0000-0100-000006000000}"/>
  <tableColumns count="7">
    <tableColumn id="1" xr3:uid="{00000000-0010-0000-0500-000001000000}" name="CATEGORÍA" dataDxfId="68"/>
    <tableColumn id="2" xr3:uid="{00000000-0010-0000-0500-000002000000}" name="SUBCATEGORÍA" dataDxfId="67"/>
    <tableColumn id="3" xr3:uid="{00000000-0010-0000-0500-000003000000}" name="FECHA" dataDxfId="66"/>
    <tableColumn id="4" xr3:uid="{00000000-0010-0000-0500-000004000000}" name="DETALLE" dataDxfId="65"/>
    <tableColumn id="6" xr3:uid="{8A63E2E1-6B7C-478C-B5EC-E9C140749A73}" name="ARS" dataDxfId="64"/>
    <tableColumn id="7" xr3:uid="{EB4AFF51-DEDD-4F08-AD87-F9EDDD0B7C5A}" name="USD" dataDxfId="63">
      <calculatedColumnFormula>IF(Junio[[#This Row],[COTIZACION]]="", "", Junio[[#This Row],[ARS]]/Junio[[#This Row],[COTIZACION]])</calculatedColumnFormula>
    </tableColumn>
    <tableColumn id="5" xr3:uid="{00000000-0010-0000-0500-000005000000}" name="COTIZACION" dataDxfId="6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Julio" displayName="Julio" ref="B5:H95" totalsRowShown="0" headerRowDxfId="61" dataDxfId="60" tableBorderDxfId="59">
  <autoFilter ref="B5:H95" xr:uid="{00000000-0009-0000-0100-000007000000}"/>
  <tableColumns count="7">
    <tableColumn id="1" xr3:uid="{00000000-0010-0000-0600-000001000000}" name="CATEGORÍA" dataDxfId="58"/>
    <tableColumn id="2" xr3:uid="{00000000-0010-0000-0600-000002000000}" name="SUBCATEGORÍA" dataDxfId="57"/>
    <tableColumn id="3" xr3:uid="{00000000-0010-0000-0600-000003000000}" name="FECHA" dataDxfId="56"/>
    <tableColumn id="4" xr3:uid="{00000000-0010-0000-0600-000004000000}" name="DETALLE" dataDxfId="55"/>
    <tableColumn id="6" xr3:uid="{E048EA9B-F2D5-4C13-869C-EFA878A7134C}" name="ARS" dataDxfId="54"/>
    <tableColumn id="7" xr3:uid="{BDCE3F3B-538A-43FB-9673-953E96F082C1}" name="USD" dataDxfId="53">
      <calculatedColumnFormula>IF(Julio[[#This Row],[COTIZACION]]="", "", Julio[[#This Row],[ARS]]/Julio[[#This Row],[COTIZACION]])</calculatedColumnFormula>
    </tableColumn>
    <tableColumn id="5" xr3:uid="{00000000-0010-0000-0600-000005000000}" name="COTIZACION" dataDxfId="5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gosto" displayName="Agosto" ref="B5:H95" totalsRowShown="0" headerRowDxfId="51" dataDxfId="50" tableBorderDxfId="49">
  <autoFilter ref="B5:H95" xr:uid="{00000000-0009-0000-0100-000008000000}"/>
  <tableColumns count="7">
    <tableColumn id="1" xr3:uid="{00000000-0010-0000-0700-000001000000}" name="CATEGORÍA" dataDxfId="48"/>
    <tableColumn id="2" xr3:uid="{00000000-0010-0000-0700-000002000000}" name="SUBCATEGORÍA" dataDxfId="47"/>
    <tableColumn id="3" xr3:uid="{00000000-0010-0000-0700-000003000000}" name="FECHA" dataDxfId="46"/>
    <tableColumn id="4" xr3:uid="{00000000-0010-0000-0700-000004000000}" name="DETALLE" dataDxfId="45"/>
    <tableColumn id="6" xr3:uid="{BF740F14-6298-48C8-A407-44D5E924D7C9}" name="ARS" dataDxfId="44"/>
    <tableColumn id="7" xr3:uid="{2E00540B-8E6D-4658-8516-01C97BBF6FE5}" name="USD" dataDxfId="43">
      <calculatedColumnFormula>IF(Agosto[[#This Row],[COTIZACION]]="", "", Agosto[[#This Row],[ARS]]/Agosto[[#This Row],[COTIZACION]])</calculatedColumnFormula>
    </tableColumn>
    <tableColumn id="5" xr3:uid="{00000000-0010-0000-0700-000005000000}" name="COTIZACION" dataDxfId="4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ptiembre" displayName="Septiembre" ref="B5:H100" totalsRowShown="0" headerRowDxfId="41" dataDxfId="40" tableBorderDxfId="39">
  <autoFilter ref="B5:H100" xr:uid="{00000000-0009-0000-0100-000009000000}"/>
  <tableColumns count="7">
    <tableColumn id="1" xr3:uid="{00000000-0010-0000-0800-000001000000}" name="CATEGORÍA" dataDxfId="38"/>
    <tableColumn id="2" xr3:uid="{00000000-0010-0000-0800-000002000000}" name="SUBCATEGORÍA" dataDxfId="37"/>
    <tableColumn id="3" xr3:uid="{00000000-0010-0000-0800-000003000000}" name="FECHA" dataDxfId="36"/>
    <tableColumn id="4" xr3:uid="{00000000-0010-0000-0800-000004000000}" name="DETALLE" dataDxfId="35"/>
    <tableColumn id="5" xr3:uid="{00000000-0010-0000-0800-000005000000}" name="ARS" dataDxfId="34"/>
    <tableColumn id="6" xr3:uid="{FB302242-8435-4A46-A5DA-1CA713F892A8}" name="USD" dataDxfId="33">
      <calculatedColumnFormula>IF(Septiembre[[#This Row],[COTIZACION]]="", "", Septiembre[[#This Row],[ARS]]/Septiembre[[#This Row],[COTIZACION]])</calculatedColumnFormula>
    </tableColumn>
    <tableColumn id="7" xr3:uid="{6562BD07-4FCA-4DC0-83CA-B4A9A3B8D2E5}" name="COTIZACION" dataDxfId="3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Octubre" displayName="Octubre" ref="B5:H94" totalsRowShown="0" headerRowDxfId="31" dataDxfId="30" tableBorderDxfId="29">
  <autoFilter ref="B5:H94" xr:uid="{00000000-0009-0000-0100-00000A000000}"/>
  <tableColumns count="7">
    <tableColumn id="1" xr3:uid="{00000000-0010-0000-0900-000001000000}" name="CATEGORÍA" dataDxfId="28"/>
    <tableColumn id="2" xr3:uid="{00000000-0010-0000-0900-000002000000}" name="SUBCATEGORÍA" dataDxfId="27"/>
    <tableColumn id="3" xr3:uid="{00000000-0010-0000-0900-000003000000}" name="FECHA" dataDxfId="26"/>
    <tableColumn id="4" xr3:uid="{00000000-0010-0000-0900-000004000000}" name="DETALLE" dataDxfId="25"/>
    <tableColumn id="6" xr3:uid="{797BD4DE-68F5-4558-8A2F-A03173CAA398}" name="ARS" dataDxfId="24"/>
    <tableColumn id="7" xr3:uid="{8371A47B-3CA3-4BF4-B6B9-79746401FBF1}" name="USD" dataDxfId="23">
      <calculatedColumnFormula>IF(Octubre[[#This Row],[COTIZACION]]="", "", Octubre[[#This Row],[ARS]]/Octubre[[#This Row],[COTIZACION]])</calculatedColumnFormula>
    </tableColumn>
    <tableColumn id="5" xr3:uid="{00000000-0010-0000-0900-000005000000}" name="COTIZACION" dataDxfId="2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Noviembre" displayName="Noviembre" ref="B5:H94" totalsRowShown="0" headerRowDxfId="21" dataDxfId="20" tableBorderDxfId="19">
  <autoFilter ref="B5:H94" xr:uid="{00000000-0009-0000-0100-00000B000000}"/>
  <tableColumns count="7">
    <tableColumn id="1" xr3:uid="{00000000-0010-0000-0A00-000001000000}" name="CATEGORÍA" dataDxfId="18"/>
    <tableColumn id="2" xr3:uid="{00000000-0010-0000-0A00-000002000000}" name="SUBCATEGORÍA" dataDxfId="17"/>
    <tableColumn id="3" xr3:uid="{00000000-0010-0000-0A00-000003000000}" name="FECHA" dataDxfId="16"/>
    <tableColumn id="4" xr3:uid="{00000000-0010-0000-0A00-000004000000}" name="DETALLE" dataDxfId="15"/>
    <tableColumn id="6" xr3:uid="{478677C7-B411-459C-9D81-9BF1DEDA9677}" name="ARS" dataDxfId="14"/>
    <tableColumn id="7" xr3:uid="{38AFE86B-214B-41EE-B22C-607F13AD69C2}" name="USD" dataDxfId="13">
      <calculatedColumnFormula>IF(Noviembre[[#This Row],[COTIZACION]]="", "", Noviembre[[#This Row],[ARS]]/Noviembre[[#This Row],[COTIZACION]])</calculatedColumnFormula>
    </tableColumn>
    <tableColumn id="5" xr3:uid="{00000000-0010-0000-0A00-000005000000}" name="COTIZACION" dataDxfId="1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iciembre" displayName="Diciembre" ref="B5:H95" totalsRowShown="0" headerRowDxfId="11" dataDxfId="10" tableBorderDxfId="9">
  <autoFilter ref="B5:H95" xr:uid="{00000000-0009-0000-0100-00000C000000}"/>
  <tableColumns count="7">
    <tableColumn id="1" xr3:uid="{00000000-0010-0000-0B00-000001000000}" name="CATEGORÍA" dataDxfId="8"/>
    <tableColumn id="2" xr3:uid="{00000000-0010-0000-0B00-000002000000}" name="SUBCATEGORÍA" dataDxfId="7"/>
    <tableColumn id="3" xr3:uid="{00000000-0010-0000-0B00-000003000000}" name="FECHA" dataDxfId="6"/>
    <tableColumn id="4" xr3:uid="{00000000-0010-0000-0B00-000004000000}" name="DETALLE" dataDxfId="5"/>
    <tableColumn id="6" xr3:uid="{AEC9C991-982A-493D-AE6F-72BDEC5A92E2}" name="ARS" dataDxfId="4"/>
    <tableColumn id="7" xr3:uid="{9788D436-0892-45B1-A64E-F6F952DD0693}" name="USD" dataDxfId="3">
      <calculatedColumnFormula>IF(Diciembre[[#This Row],[COTIZACION]]="", "", Diciembre[[#This Row],[ARS]]/Diciembre[[#This Row],[COTIZACION]])</calculatedColumnFormula>
    </tableColumn>
    <tableColumn id="5" xr3:uid="{00000000-0010-0000-0B00-000005000000}" name="COTIZAC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"/>
  <sheetViews>
    <sheetView showGridLines="0" workbookViewId="0">
      <selection activeCell="H5" sqref="H5"/>
    </sheetView>
  </sheetViews>
  <sheetFormatPr defaultColWidth="11.08984375" defaultRowHeight="15.5" x14ac:dyDescent="0.35"/>
  <cols>
    <col min="1" max="1" width="3.90625" style="56" customWidth="1"/>
    <col min="2" max="11" width="17.90625" style="56" customWidth="1"/>
    <col min="12" max="16384" width="11.08984375" style="56"/>
  </cols>
  <sheetData>
    <row r="1" spans="2:11" ht="9.9" customHeight="1" x14ac:dyDescent="0.35"/>
    <row r="2" spans="2:11" ht="54.9" customHeight="1" x14ac:dyDescent="0.35"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2:11" ht="24" customHeight="1" x14ac:dyDescent="0.35"/>
    <row r="4" spans="2:11" ht="42" customHeight="1" x14ac:dyDescent="0.35">
      <c r="B4" s="58" t="s">
        <v>61</v>
      </c>
      <c r="C4" s="59"/>
      <c r="D4" s="59"/>
      <c r="E4" s="59"/>
      <c r="F4" s="59"/>
      <c r="G4" s="59"/>
      <c r="H4" s="59"/>
      <c r="I4" s="59"/>
      <c r="J4" s="59"/>
      <c r="K4" s="59"/>
    </row>
    <row r="5" spans="2:11" ht="15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B2:AD74"/>
  <sheetViews>
    <sheetView showGridLines="0" showZeros="0" zoomScale="55" zoomScaleNormal="55" workbookViewId="0">
      <pane xSplit="1" ySplit="5" topLeftCell="B45" activePane="bottomRight" state="frozen"/>
      <selection pane="topRight" activeCell="B1" sqref="B1"/>
      <selection pane="bottomLeft" activeCell="A4" sqref="A4"/>
      <selection pane="bottomRight" activeCell="J68" sqref="J68"/>
    </sheetView>
  </sheetViews>
  <sheetFormatPr defaultColWidth="9.08984375" defaultRowHeight="15.5" x14ac:dyDescent="0.35"/>
  <cols>
    <col min="1" max="1" width="1.08984375" style="11" customWidth="1"/>
    <col min="2" max="2" width="22.1796875" style="11" bestFit="1" customWidth="1"/>
    <col min="3" max="3" width="19.7265625" style="44" bestFit="1" customWidth="1"/>
    <col min="4" max="4" width="14.26953125" style="44" bestFit="1" customWidth="1"/>
    <col min="5" max="5" width="19.7265625" style="44" bestFit="1" customWidth="1"/>
    <col min="6" max="6" width="14.26953125" style="44" bestFit="1" customWidth="1"/>
    <col min="7" max="7" width="19.7265625" style="44" bestFit="1" customWidth="1"/>
    <col min="8" max="8" width="14.26953125" style="44" bestFit="1" customWidth="1"/>
    <col min="9" max="9" width="19.7265625" style="44" bestFit="1" customWidth="1"/>
    <col min="10" max="10" width="14.26953125" style="44" bestFit="1" customWidth="1"/>
    <col min="11" max="11" width="19.7265625" style="44" bestFit="1" customWidth="1"/>
    <col min="12" max="12" width="14.26953125" style="44" bestFit="1" customWidth="1"/>
    <col min="13" max="13" width="19.7265625" style="44" bestFit="1" customWidth="1"/>
    <col min="14" max="14" width="14.26953125" style="44" bestFit="1" customWidth="1"/>
    <col min="15" max="15" width="19.7265625" style="44" bestFit="1" customWidth="1"/>
    <col min="16" max="16" width="11.81640625" style="44" bestFit="1" customWidth="1"/>
    <col min="17" max="17" width="5.1796875" style="44" bestFit="1" customWidth="1"/>
    <col min="18" max="18" width="10.6328125" style="44" bestFit="1" customWidth="1"/>
    <col min="19" max="19" width="5.1796875" style="44" bestFit="1" customWidth="1"/>
    <col min="20" max="20" width="10.6328125" style="44" bestFit="1" customWidth="1"/>
    <col min="21" max="21" width="5.1796875" style="44" bestFit="1" customWidth="1"/>
    <col min="22" max="22" width="10.6328125" style="44" bestFit="1" customWidth="1"/>
    <col min="23" max="23" width="5.1796875" style="44" bestFit="1" customWidth="1"/>
    <col min="24" max="24" width="5.453125" style="44" bestFit="1" customWidth="1"/>
    <col min="25" max="25" width="5.1796875" style="44" bestFit="1" customWidth="1"/>
    <col min="26" max="26" width="5.453125" style="44" bestFit="1" customWidth="1"/>
    <col min="27" max="27" width="9.08984375" style="44"/>
    <col min="28" max="28" width="21.26953125" style="44" bestFit="1" customWidth="1"/>
    <col min="29" max="29" width="15.08984375" style="44" bestFit="1" customWidth="1"/>
    <col min="30" max="30" width="22.453125" style="12" bestFit="1" customWidth="1"/>
    <col min="31" max="16384" width="9.08984375" style="11"/>
  </cols>
  <sheetData>
    <row r="2" spans="2:30" x14ac:dyDescent="0.35">
      <c r="B2" s="17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3"/>
      <c r="AC2" s="43"/>
      <c r="AD2"/>
    </row>
    <row r="3" spans="2:30" x14ac:dyDescent="0.35">
      <c r="B3" s="17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3"/>
      <c r="AC3" s="43"/>
      <c r="AD3"/>
    </row>
    <row r="4" spans="2:30" ht="23.5" x14ac:dyDescent="0.35">
      <c r="B4" s="132"/>
      <c r="C4" s="129">
        <v>2024</v>
      </c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1"/>
      <c r="AA4" s="45"/>
      <c r="AB4" s="133" t="s">
        <v>77</v>
      </c>
      <c r="AC4" s="127" t="s">
        <v>77</v>
      </c>
      <c r="AD4" s="135" t="s">
        <v>48</v>
      </c>
    </row>
    <row r="5" spans="2:30" ht="18.5" x14ac:dyDescent="0.45">
      <c r="B5" s="132"/>
      <c r="C5" s="124" t="s">
        <v>15</v>
      </c>
      <c r="D5" s="125"/>
      <c r="E5" s="126" t="s">
        <v>16</v>
      </c>
      <c r="F5" s="125"/>
      <c r="G5" s="126" t="s">
        <v>17</v>
      </c>
      <c r="H5" s="125"/>
      <c r="I5" s="126" t="s">
        <v>18</v>
      </c>
      <c r="J5" s="125"/>
      <c r="K5" s="126" t="s">
        <v>20</v>
      </c>
      <c r="L5" s="125"/>
      <c r="M5" s="126" t="s">
        <v>21</v>
      </c>
      <c r="N5" s="125"/>
      <c r="O5" s="126" t="s">
        <v>22</v>
      </c>
      <c r="P5" s="125"/>
      <c r="Q5" s="126" t="s">
        <v>23</v>
      </c>
      <c r="R5" s="125"/>
      <c r="S5" s="126" t="s">
        <v>24</v>
      </c>
      <c r="T5" s="125"/>
      <c r="U5" s="126" t="s">
        <v>25</v>
      </c>
      <c r="V5" s="125"/>
      <c r="W5" s="126" t="s">
        <v>26</v>
      </c>
      <c r="X5" s="125"/>
      <c r="Y5" s="126" t="s">
        <v>19</v>
      </c>
      <c r="Z5" s="124"/>
      <c r="AA5" s="47"/>
      <c r="AB5" s="134"/>
      <c r="AC5" s="128"/>
      <c r="AD5" s="136"/>
    </row>
    <row r="6" spans="2:30" ht="18.5" x14ac:dyDescent="0.45">
      <c r="B6" s="62"/>
      <c r="C6" s="46" t="s">
        <v>64</v>
      </c>
      <c r="D6" s="46" t="s">
        <v>63</v>
      </c>
      <c r="E6" s="71" t="s">
        <v>64</v>
      </c>
      <c r="F6" s="72" t="s">
        <v>63</v>
      </c>
      <c r="G6" s="46" t="s">
        <v>64</v>
      </c>
      <c r="H6" s="72" t="s">
        <v>63</v>
      </c>
      <c r="I6" s="46" t="s">
        <v>64</v>
      </c>
      <c r="J6" s="72" t="s">
        <v>63</v>
      </c>
      <c r="K6" s="46" t="s">
        <v>64</v>
      </c>
      <c r="L6" s="72" t="s">
        <v>63</v>
      </c>
      <c r="M6" s="46" t="s">
        <v>64</v>
      </c>
      <c r="N6" s="72" t="s">
        <v>63</v>
      </c>
      <c r="O6" s="46" t="s">
        <v>64</v>
      </c>
      <c r="P6" s="72" t="s">
        <v>63</v>
      </c>
      <c r="Q6" s="46" t="s">
        <v>64</v>
      </c>
      <c r="R6" s="72" t="s">
        <v>63</v>
      </c>
      <c r="S6" s="46" t="s">
        <v>64</v>
      </c>
      <c r="T6" s="72" t="s">
        <v>63</v>
      </c>
      <c r="U6" s="46" t="s">
        <v>64</v>
      </c>
      <c r="V6" s="72" t="s">
        <v>63</v>
      </c>
      <c r="W6" s="46" t="s">
        <v>64</v>
      </c>
      <c r="X6" s="72" t="s">
        <v>63</v>
      </c>
      <c r="Y6" s="46" t="s">
        <v>64</v>
      </c>
      <c r="Z6" s="46" t="s">
        <v>63</v>
      </c>
      <c r="AA6" s="47"/>
      <c r="AB6" s="69" t="s">
        <v>64</v>
      </c>
      <c r="AC6" s="69" t="s">
        <v>63</v>
      </c>
      <c r="AD6" s="63"/>
    </row>
    <row r="7" spans="2:30" ht="18.5" x14ac:dyDescent="0.45">
      <c r="B7" s="81" t="s">
        <v>50</v>
      </c>
      <c r="C7" s="88">
        <f t="shared" ref="C7:Z7" ca="1" si="0">SUM(C8:C23)</f>
        <v>960000</v>
      </c>
      <c r="D7" s="89">
        <f t="shared" ca="1" si="0"/>
        <v>796.92589646944907</v>
      </c>
      <c r="E7" s="90">
        <f t="shared" ca="1" si="0"/>
        <v>653100</v>
      </c>
      <c r="F7" s="89">
        <f t="shared" ca="1" si="0"/>
        <v>552.59209973385634</v>
      </c>
      <c r="G7" s="90">
        <f t="shared" ca="1" si="0"/>
        <v>1787400</v>
      </c>
      <c r="H7" s="89">
        <f t="shared" ca="1" si="0"/>
        <v>1485.9641873278235</v>
      </c>
      <c r="I7" s="90">
        <f t="shared" ca="1" si="0"/>
        <v>1026300</v>
      </c>
      <c r="J7" s="89">
        <f t="shared" ca="1" si="0"/>
        <v>812.47745646766168</v>
      </c>
      <c r="K7" s="90">
        <f t="shared" ca="1" si="0"/>
        <v>1688588</v>
      </c>
      <c r="L7" s="89">
        <f t="shared" ca="1" si="0"/>
        <v>1443.237606837607</v>
      </c>
      <c r="M7" s="90">
        <f t="shared" ca="1" si="0"/>
        <v>2028489</v>
      </c>
      <c r="N7" s="89">
        <f t="shared" ca="1" si="0"/>
        <v>1756.7823211875843</v>
      </c>
      <c r="O7" s="90">
        <f t="shared" ca="1" si="0"/>
        <v>1098828</v>
      </c>
      <c r="P7" s="89">
        <f t="shared" ca="1" si="0"/>
        <v>877.22469135802476</v>
      </c>
      <c r="Q7" s="90">
        <f t="shared" ca="1" si="0"/>
        <v>1594000</v>
      </c>
      <c r="R7" s="89">
        <f t="shared" ca="1" si="0"/>
        <v>1225.0381679389311</v>
      </c>
      <c r="S7" s="90">
        <f t="shared" ca="1" si="0"/>
        <v>1167531</v>
      </c>
      <c r="T7" s="89">
        <f t="shared" ca="1" si="0"/>
        <v>861.2851425684778</v>
      </c>
      <c r="U7" s="90">
        <f t="shared" ca="1" si="0"/>
        <v>961632</v>
      </c>
      <c r="V7" s="89">
        <f t="shared" ca="1" si="0"/>
        <v>707.0823529411764</v>
      </c>
      <c r="W7" s="90">
        <f t="shared" ca="1" si="0"/>
        <v>871632</v>
      </c>
      <c r="X7" s="89">
        <f t="shared" ca="1" si="0"/>
        <v>0</v>
      </c>
      <c r="Y7" s="90">
        <f t="shared" ca="1" si="0"/>
        <v>1008632</v>
      </c>
      <c r="Z7" s="89">
        <f t="shared" ca="1" si="0"/>
        <v>810.14618473895587</v>
      </c>
      <c r="AA7" s="48"/>
      <c r="AB7" s="49">
        <f ca="1">SUM(C7,E7,G7,I7,K7,M7,O7,Q7,S7,U7,W7,Y7)</f>
        <v>14846132</v>
      </c>
      <c r="AC7" s="49">
        <f ca="1">SUM(D7,F7,H7,L7,N7,P7,R7,T7,V7,X7,Z7)</f>
        <v>10516.278651101888</v>
      </c>
      <c r="AD7" s="38">
        <f t="shared" ref="AD7:AD29" ca="1" si="1">IFERROR(AB7/$AB$63,"")</f>
        <v>0.5430773651931986</v>
      </c>
    </row>
    <row r="8" spans="2:30" ht="19" thickBot="1" x14ac:dyDescent="0.4">
      <c r="B8" s="82" t="s">
        <v>3</v>
      </c>
      <c r="C8" s="86">
        <f t="shared" ref="C8:C23" ca="1" si="2">SUMIF(INDIRECT(C$5&amp;"[SUBCATEGORÍA]"),$B8,INDIRECT(C$5&amp;"[ARS]"))</f>
        <v>0</v>
      </c>
      <c r="D8" s="87">
        <f ca="1">SUMIF(INDIRECT(C$5&amp;"[SUBCATEGORÍA]"),$B8,INDIRECT(C$5&amp;"[USD]"))</f>
        <v>0</v>
      </c>
      <c r="E8" s="86">
        <f ca="1">SUMIF(INDIRECT(E$5&amp;"[SUBCATEGORÍA]"),$B8,INDIRECT(E$5&amp;"[ARS]"))</f>
        <v>0</v>
      </c>
      <c r="F8" s="87">
        <f ca="1">SUMIF(INDIRECT(E$5&amp;"[SUBCATEGORÍA]"),$B8,INDIRECT(E$5&amp;"[USD]"))</f>
        <v>0</v>
      </c>
      <c r="G8" s="86">
        <f ca="1">SUMIF(INDIRECT(G$5&amp;"[SUBCATEGORÍA]"),$B8,INDIRECT(G$5&amp;"[ARS]"))</f>
        <v>0</v>
      </c>
      <c r="H8" s="87">
        <f ca="1">SUMIF(INDIRECT(G$5&amp;"[SUBCATEGORÍA]"),$B8,INDIRECT(G$5&amp;"[USD]"))</f>
        <v>0</v>
      </c>
      <c r="I8" s="86">
        <f ca="1">SUMIF(INDIRECT(I$5&amp;"[SUBCATEGORÍA]"),$B8,INDIRECT(I$5&amp;"[ARS]"))</f>
        <v>0</v>
      </c>
      <c r="J8" s="87">
        <f ca="1">SUMIF(INDIRECT(I$5&amp;"[SUBCATEGORÍA]"),$B8,INDIRECT(I$5&amp;"[USD]"))</f>
        <v>0</v>
      </c>
      <c r="K8" s="86">
        <f t="shared" ref="K8:K23" ca="1" si="3">SUMIF(INDIRECT(K$5&amp;"[SUBCATEGORÍA]"),$B8,INDIRECT(K$5&amp;"[ARS]"))</f>
        <v>0</v>
      </c>
      <c r="L8" s="87">
        <f t="shared" ref="L8:L23" ca="1" si="4">SUMIF(INDIRECT(K$5&amp;"[SUBCATEGORÍA]"),$B8,INDIRECT(K$5&amp;"[USD]"))</f>
        <v>0</v>
      </c>
      <c r="M8" s="86">
        <f t="shared" ref="M8:M23" ca="1" si="5">SUMIF(INDIRECT(M$5&amp;"[SUBCATEGORÍA]"),$B8,INDIRECT(M$5&amp;"[ARS]"))</f>
        <v>0</v>
      </c>
      <c r="N8" s="87">
        <f t="shared" ref="N8:N23" ca="1" si="6">SUMIF(INDIRECT(M$5&amp;"[SUBCATEGORÍA]"),$B8,INDIRECT(M$5&amp;"[USD]"))</f>
        <v>0</v>
      </c>
      <c r="O8" s="86">
        <f t="shared" ref="O8:O23" ca="1" si="7">SUMIF(INDIRECT(O$5&amp;"[SUBCATEGORÍA]"),$B8,INDIRECT(O$5&amp;"[ARS]"))</f>
        <v>0</v>
      </c>
      <c r="P8" s="87">
        <f t="shared" ref="P8:P23" ca="1" si="8">SUMIF(INDIRECT(O$5&amp;"[SUBCATEGORÍA]"),$B8,INDIRECT(O$5&amp;"[USD]"))</f>
        <v>0</v>
      </c>
      <c r="Q8" s="86">
        <f t="shared" ref="Q8:Q23" ca="1" si="9">SUMIF(INDIRECT(Q$5&amp;"[SUBCATEGORÍA]"),$B8,INDIRECT(Q$5&amp;"[ARS]"))</f>
        <v>0</v>
      </c>
      <c r="R8" s="87">
        <f t="shared" ref="R8:R23" ca="1" si="10">SUMIF(INDIRECT(Q$5&amp;"[SUBCATEGORÍA]"),$B8,INDIRECT(Q$5&amp;"[USD]"))</f>
        <v>0</v>
      </c>
      <c r="S8" s="86">
        <f t="shared" ref="S8:S23" ca="1" si="11">SUMIF(INDIRECT(S$5&amp;"[SUBCATEGORÍA]"),$B8,INDIRECT(S$5&amp;"[ARS]"))</f>
        <v>7099</v>
      </c>
      <c r="T8" s="87">
        <f t="shared" ref="T8:T23" ca="1" si="12">SUMIF(INDIRECT(S$5&amp;"[SUBCATEGORÍA]"),$B8,INDIRECT(S$5&amp;"[USD]"))</f>
        <v>5.2198529411764705</v>
      </c>
      <c r="U8" s="86">
        <f t="shared" ref="U8:U23" ca="1" si="13">SUMIF(INDIRECT(U$5&amp;"[SUBCATEGORÍA]"),$B8,INDIRECT(U$5&amp;"[ARS]"))</f>
        <v>0</v>
      </c>
      <c r="V8" s="87">
        <f t="shared" ref="V8:V23" ca="1" si="14">SUMIF(INDIRECT(U$5&amp;"[SUBCATEGORÍA]"),$B8,INDIRECT(U$5&amp;"[USD]"))</f>
        <v>0</v>
      </c>
      <c r="W8" s="86">
        <f t="shared" ref="W8:W23" ca="1" si="15">SUMIF(INDIRECT(W$5&amp;"[SUBCATEGORÍA]"),$B8,INDIRECT(W$5&amp;"[ARS]"))</f>
        <v>0</v>
      </c>
      <c r="X8" s="87">
        <f t="shared" ref="X8:X23" ca="1" si="16">SUMIF(INDIRECT(W$5&amp;"[SUBCATEGORÍA]"),$B8,INDIRECT(W$5&amp;"[USD]"))</f>
        <v>0</v>
      </c>
      <c r="Y8" s="86">
        <f t="shared" ref="Y8:Y23" ca="1" si="17">SUMIF(INDIRECT(Y$5&amp;"[SUBCATEGORÍA]"),$B8,INDIRECT(Y$5&amp;"[ARS]"))</f>
        <v>0</v>
      </c>
      <c r="Z8" s="87">
        <f t="shared" ref="Z8:Z23" ca="1" si="18">SUMIF(INDIRECT(Y$5&amp;"[SUBCATEGORÍA]"),$B8,INDIRECT(Y$5&amp;"[USD]"))</f>
        <v>0</v>
      </c>
      <c r="AB8" s="50">
        <f ca="1">SUM(C8,E8,G8,I8,K8,M8,O8,Q8,S8,U8,W8,Y8)</f>
        <v>7099</v>
      </c>
      <c r="AC8" s="50">
        <f ca="1">SUM(D8,F8,H8,L8,N8,P8,R8,T8,V8,X8,Z8)</f>
        <v>5.2198529411764705</v>
      </c>
      <c r="AD8" s="39">
        <f t="shared" ca="1" si="1"/>
        <v>2.5968422047618309E-4</v>
      </c>
    </row>
    <row r="9" spans="2:30" ht="19" thickBot="1" x14ac:dyDescent="0.4">
      <c r="B9" s="82" t="s">
        <v>72</v>
      </c>
      <c r="C9" s="79">
        <f t="shared" ca="1" si="2"/>
        <v>450000</v>
      </c>
      <c r="D9" s="80">
        <f t="shared" ref="D9:D23" ca="1" si="19">SUMIF(INDIRECT(C$5&amp;"[SUBCATEGORÍA]"),$B9,INDIRECT(C$5&amp;"[USD]"))</f>
        <v>371.90082644628097</v>
      </c>
      <c r="E9" s="79">
        <f t="shared" ref="E9:E23" ca="1" si="20">SUMIF(INDIRECT(E$5&amp;"[SUBCATEGORÍA]"),$B9,INDIRECT(E$5&amp;"[ARS]"))</f>
        <v>453500</v>
      </c>
      <c r="F9" s="80">
        <f t="shared" ref="F9:F23" ca="1" si="21">SUMIF(INDIRECT(E$5&amp;"[SUBCATEGORÍA]"),$B9,INDIRECT(E$5&amp;"[USD]"))</f>
        <v>384.32203389830511</v>
      </c>
      <c r="G9" s="79">
        <f t="shared" ref="G9:G23" ca="1" si="22">SUMIF(INDIRECT(G$5&amp;"[SUBCATEGORÍA]"),$B9,INDIRECT(G$5&amp;"[ARS]"))</f>
        <v>459400</v>
      </c>
      <c r="H9" s="80">
        <f t="shared" ref="H9:H23" ca="1" si="23">SUMIF(INDIRECT(G$5&amp;"[SUBCATEGORÍA]"),$B9,INDIRECT(G$5&amp;"[USD]"))</f>
        <v>379.6694214876033</v>
      </c>
      <c r="I9" s="79">
        <f t="shared" ref="I9:I23" ca="1" si="24">SUMIF(INDIRECT(I$5&amp;"[SUBCATEGORÍA]"),$B9,INDIRECT(I$5&amp;"[ARS]"))</f>
        <v>461000</v>
      </c>
      <c r="J9" s="80">
        <f t="shared" ref="J9:J23" ca="1" si="25">SUMIF(INDIRECT(I$5&amp;"[SUBCATEGORÍA]"),$B9,INDIRECT(I$5&amp;"[USD]"))</f>
        <v>384.16666666666669</v>
      </c>
      <c r="K9" s="79">
        <f t="shared" ca="1" si="3"/>
        <v>871632</v>
      </c>
      <c r="L9" s="80">
        <f t="shared" ca="1" si="4"/>
        <v>744.98461538461538</v>
      </c>
      <c r="M9" s="79">
        <f t="shared" ca="1" si="5"/>
        <v>939360</v>
      </c>
      <c r="N9" s="80">
        <f t="shared" ca="1" si="6"/>
        <v>824</v>
      </c>
      <c r="O9" s="79">
        <f t="shared" ca="1" si="7"/>
        <v>945828</v>
      </c>
      <c r="P9" s="80">
        <f t="shared" ca="1" si="8"/>
        <v>778.45925925925928</v>
      </c>
      <c r="Q9" s="79">
        <f t="shared" ca="1" si="9"/>
        <v>878000</v>
      </c>
      <c r="R9" s="80">
        <f t="shared" ca="1" si="10"/>
        <v>675.38461538461536</v>
      </c>
      <c r="S9" s="79">
        <f t="shared" ca="1" si="11"/>
        <v>871632</v>
      </c>
      <c r="T9" s="80">
        <f t="shared" ca="1" si="12"/>
        <v>640.90588235294115</v>
      </c>
      <c r="U9" s="79">
        <f t="shared" ca="1" si="13"/>
        <v>871632</v>
      </c>
      <c r="V9" s="80">
        <f t="shared" ca="1" si="14"/>
        <v>640.90588235294115</v>
      </c>
      <c r="W9" s="79">
        <f t="shared" ca="1" si="15"/>
        <v>871632</v>
      </c>
      <c r="X9" s="80">
        <f t="shared" ca="1" si="16"/>
        <v>0</v>
      </c>
      <c r="Y9" s="79">
        <f t="shared" ca="1" si="17"/>
        <v>876632</v>
      </c>
      <c r="Z9" s="80">
        <f t="shared" ca="1" si="18"/>
        <v>704.12208835341369</v>
      </c>
      <c r="AB9" s="50">
        <f t="shared" ref="AB9:AB23" ca="1" si="26">SUM(C9,E9,G9,I9,K9,M9,O9,Q9,S9,U9,W9,Y9)</f>
        <v>8950248</v>
      </c>
      <c r="AC9" s="50">
        <f t="shared" ref="AC9:AC23" ca="1" si="27">SUM(D9,F9,H9,L9,N9,P9,R9,T9,V9,X9,Z9)</f>
        <v>6144.6546249199755</v>
      </c>
      <c r="AD9" s="39">
        <f t="shared" ca="1" si="1"/>
        <v>0.32740360261283513</v>
      </c>
    </row>
    <row r="10" spans="2:30" ht="19" thickBot="1" x14ac:dyDescent="0.4">
      <c r="B10" s="82" t="s">
        <v>38</v>
      </c>
      <c r="C10" s="79">
        <f t="shared" ca="1" si="2"/>
        <v>0</v>
      </c>
      <c r="D10" s="80">
        <f t="shared" ca="1" si="19"/>
        <v>0</v>
      </c>
      <c r="E10" s="79">
        <f t="shared" ca="1" si="20"/>
        <v>0</v>
      </c>
      <c r="F10" s="80">
        <f t="shared" ca="1" si="21"/>
        <v>0</v>
      </c>
      <c r="G10" s="79">
        <f t="shared" ca="1" si="22"/>
        <v>0</v>
      </c>
      <c r="H10" s="80">
        <f t="shared" ca="1" si="23"/>
        <v>0</v>
      </c>
      <c r="I10" s="79">
        <f t="shared" ca="1" si="24"/>
        <v>0</v>
      </c>
      <c r="J10" s="80">
        <f t="shared" ca="1" si="25"/>
        <v>0</v>
      </c>
      <c r="K10" s="79">
        <f t="shared" ca="1" si="3"/>
        <v>0</v>
      </c>
      <c r="L10" s="80">
        <f t="shared" ca="1" si="4"/>
        <v>0</v>
      </c>
      <c r="M10" s="79">
        <f t="shared" ca="1" si="5"/>
        <v>0</v>
      </c>
      <c r="N10" s="80">
        <f t="shared" ca="1" si="6"/>
        <v>0</v>
      </c>
      <c r="O10" s="79">
        <f t="shared" ca="1" si="7"/>
        <v>0</v>
      </c>
      <c r="P10" s="80">
        <f t="shared" ca="1" si="8"/>
        <v>0</v>
      </c>
      <c r="Q10" s="79">
        <f t="shared" ca="1" si="9"/>
        <v>0</v>
      </c>
      <c r="R10" s="80">
        <f t="shared" ca="1" si="10"/>
        <v>0</v>
      </c>
      <c r="S10" s="79">
        <f t="shared" ca="1" si="11"/>
        <v>0</v>
      </c>
      <c r="T10" s="80">
        <f t="shared" ca="1" si="12"/>
        <v>0</v>
      </c>
      <c r="U10" s="79">
        <f t="shared" ca="1" si="13"/>
        <v>0</v>
      </c>
      <c r="V10" s="80">
        <f t="shared" ca="1" si="14"/>
        <v>0</v>
      </c>
      <c r="W10" s="79">
        <f t="shared" ca="1" si="15"/>
        <v>0</v>
      </c>
      <c r="X10" s="80">
        <f t="shared" ca="1" si="16"/>
        <v>0</v>
      </c>
      <c r="Y10" s="79">
        <f t="shared" ca="1" si="17"/>
        <v>0</v>
      </c>
      <c r="Z10" s="80">
        <f t="shared" ca="1" si="18"/>
        <v>0</v>
      </c>
      <c r="AB10" s="50">
        <f t="shared" ca="1" si="26"/>
        <v>0</v>
      </c>
      <c r="AC10" s="50">
        <f t="shared" ca="1" si="27"/>
        <v>0</v>
      </c>
      <c r="AD10" s="39">
        <f t="shared" ca="1" si="1"/>
        <v>0</v>
      </c>
    </row>
    <row r="11" spans="2:30" ht="19" thickBot="1" x14ac:dyDescent="0.4">
      <c r="B11" s="82" t="s">
        <v>60</v>
      </c>
      <c r="C11" s="79">
        <f t="shared" ca="1" si="2"/>
        <v>0</v>
      </c>
      <c r="D11" s="80">
        <f t="shared" ca="1" si="19"/>
        <v>0</v>
      </c>
      <c r="E11" s="79">
        <f t="shared" ca="1" si="20"/>
        <v>0</v>
      </c>
      <c r="F11" s="80">
        <f t="shared" ca="1" si="21"/>
        <v>0</v>
      </c>
      <c r="G11" s="79">
        <f t="shared" ca="1" si="22"/>
        <v>0</v>
      </c>
      <c r="H11" s="80">
        <f t="shared" ca="1" si="23"/>
        <v>0</v>
      </c>
      <c r="I11" s="79">
        <f t="shared" ca="1" si="24"/>
        <v>0</v>
      </c>
      <c r="J11" s="80">
        <f t="shared" ca="1" si="25"/>
        <v>0</v>
      </c>
      <c r="K11" s="79">
        <f t="shared" ca="1" si="3"/>
        <v>0</v>
      </c>
      <c r="L11" s="80">
        <f t="shared" ca="1" si="4"/>
        <v>0</v>
      </c>
      <c r="M11" s="79">
        <f t="shared" ca="1" si="5"/>
        <v>0</v>
      </c>
      <c r="N11" s="80">
        <f t="shared" ca="1" si="6"/>
        <v>0</v>
      </c>
      <c r="O11" s="79">
        <f t="shared" ca="1" si="7"/>
        <v>0</v>
      </c>
      <c r="P11" s="80">
        <f t="shared" ca="1" si="8"/>
        <v>0</v>
      </c>
      <c r="Q11" s="79">
        <f t="shared" ca="1" si="9"/>
        <v>0</v>
      </c>
      <c r="R11" s="80">
        <f t="shared" ca="1" si="10"/>
        <v>0</v>
      </c>
      <c r="S11" s="79">
        <f t="shared" ca="1" si="11"/>
        <v>0</v>
      </c>
      <c r="T11" s="80">
        <f t="shared" ca="1" si="12"/>
        <v>0</v>
      </c>
      <c r="U11" s="79">
        <f t="shared" ca="1" si="13"/>
        <v>0</v>
      </c>
      <c r="V11" s="80">
        <f t="shared" ca="1" si="14"/>
        <v>0</v>
      </c>
      <c r="W11" s="79">
        <f t="shared" ca="1" si="15"/>
        <v>0</v>
      </c>
      <c r="X11" s="80">
        <f t="shared" ca="1" si="16"/>
        <v>0</v>
      </c>
      <c r="Y11" s="79">
        <f t="shared" ca="1" si="17"/>
        <v>0</v>
      </c>
      <c r="Z11" s="80">
        <f t="shared" ca="1" si="18"/>
        <v>0</v>
      </c>
      <c r="AB11" s="50">
        <f t="shared" ca="1" si="26"/>
        <v>0</v>
      </c>
      <c r="AC11" s="50">
        <f t="shared" ca="1" si="27"/>
        <v>0</v>
      </c>
      <c r="AD11" s="39">
        <f t="shared" ca="1" si="1"/>
        <v>0</v>
      </c>
    </row>
    <row r="12" spans="2:30" ht="19" thickBot="1" x14ac:dyDescent="0.4">
      <c r="B12" s="82" t="s">
        <v>80</v>
      </c>
      <c r="C12" s="79">
        <f t="shared" ca="1" si="2"/>
        <v>0</v>
      </c>
      <c r="D12" s="80">
        <f t="shared" ca="1" si="19"/>
        <v>0</v>
      </c>
      <c r="E12" s="79">
        <f t="shared" ca="1" si="20"/>
        <v>0</v>
      </c>
      <c r="F12" s="80">
        <f t="shared" ca="1" si="21"/>
        <v>0</v>
      </c>
      <c r="G12" s="79">
        <f t="shared" ca="1" si="22"/>
        <v>0</v>
      </c>
      <c r="H12" s="80">
        <f t="shared" ca="1" si="23"/>
        <v>0</v>
      </c>
      <c r="I12" s="79">
        <f t="shared" ca="1" si="24"/>
        <v>0</v>
      </c>
      <c r="J12" s="80">
        <f t="shared" ca="1" si="25"/>
        <v>0</v>
      </c>
      <c r="K12" s="79">
        <f t="shared" ca="1" si="3"/>
        <v>0</v>
      </c>
      <c r="L12" s="80">
        <f t="shared" ca="1" si="4"/>
        <v>0</v>
      </c>
      <c r="M12" s="79">
        <f t="shared" ca="1" si="5"/>
        <v>0</v>
      </c>
      <c r="N12" s="80">
        <f t="shared" ca="1" si="6"/>
        <v>0</v>
      </c>
      <c r="O12" s="79">
        <f t="shared" ca="1" si="7"/>
        <v>0</v>
      </c>
      <c r="P12" s="80">
        <f t="shared" ca="1" si="8"/>
        <v>0</v>
      </c>
      <c r="Q12" s="79">
        <f t="shared" ca="1" si="9"/>
        <v>0</v>
      </c>
      <c r="R12" s="80">
        <f t="shared" ca="1" si="10"/>
        <v>0</v>
      </c>
      <c r="S12" s="79">
        <f t="shared" ca="1" si="11"/>
        <v>0</v>
      </c>
      <c r="T12" s="80">
        <f t="shared" ca="1" si="12"/>
        <v>0</v>
      </c>
      <c r="U12" s="79">
        <f t="shared" ca="1" si="13"/>
        <v>50000</v>
      </c>
      <c r="V12" s="80">
        <f t="shared" ca="1" si="14"/>
        <v>36.764705882352942</v>
      </c>
      <c r="W12" s="79">
        <f t="shared" ca="1" si="15"/>
        <v>0</v>
      </c>
      <c r="X12" s="80">
        <f t="shared" ca="1" si="16"/>
        <v>0</v>
      </c>
      <c r="Y12" s="79">
        <f t="shared" ca="1" si="17"/>
        <v>0</v>
      </c>
      <c r="Z12" s="80">
        <f t="shared" ca="1" si="18"/>
        <v>0</v>
      </c>
      <c r="AB12" s="50">
        <f t="shared" ca="1" si="26"/>
        <v>50000</v>
      </c>
      <c r="AC12" s="50">
        <f t="shared" ca="1" si="27"/>
        <v>36.764705882352942</v>
      </c>
      <c r="AD12" s="39">
        <f t="shared" ca="1" si="1"/>
        <v>1.8290197244413516E-3</v>
      </c>
    </row>
    <row r="13" spans="2:30" ht="19" thickBot="1" x14ac:dyDescent="0.4">
      <c r="B13" s="82" t="s">
        <v>75</v>
      </c>
      <c r="C13" s="79">
        <f t="shared" ca="1" si="2"/>
        <v>125000</v>
      </c>
      <c r="D13" s="80">
        <f t="shared" ca="1" si="19"/>
        <v>104.60251046025104</v>
      </c>
      <c r="E13" s="79">
        <f t="shared" ca="1" si="20"/>
        <v>0</v>
      </c>
      <c r="F13" s="80">
        <f t="shared" ca="1" si="21"/>
        <v>0</v>
      </c>
      <c r="G13" s="79">
        <f t="shared" ca="1" si="22"/>
        <v>260000</v>
      </c>
      <c r="H13" s="80">
        <f t="shared" ca="1" si="23"/>
        <v>216.66666666666666</v>
      </c>
      <c r="I13" s="79">
        <f t="shared" ca="1" si="24"/>
        <v>122000</v>
      </c>
      <c r="J13" s="80">
        <f t="shared" ca="1" si="25"/>
        <v>91.044776119402982</v>
      </c>
      <c r="K13" s="79">
        <f t="shared" ca="1" si="3"/>
        <v>126644</v>
      </c>
      <c r="L13" s="80">
        <f t="shared" ca="1" si="4"/>
        <v>108.24273504273505</v>
      </c>
      <c r="M13" s="79">
        <f t="shared" ca="1" si="5"/>
        <v>133520</v>
      </c>
      <c r="N13" s="80">
        <f t="shared" ca="1" si="6"/>
        <v>114.11965811965813</v>
      </c>
      <c r="O13" s="79">
        <f t="shared" ca="1" si="7"/>
        <v>0</v>
      </c>
      <c r="P13" s="80">
        <f t="shared" ca="1" si="8"/>
        <v>0</v>
      </c>
      <c r="Q13" s="79">
        <f t="shared" ca="1" si="9"/>
        <v>323000</v>
      </c>
      <c r="R13" s="80">
        <f t="shared" ca="1" si="10"/>
        <v>248.46153846153845</v>
      </c>
      <c r="S13" s="79">
        <f t="shared" ca="1" si="11"/>
        <v>162600</v>
      </c>
      <c r="T13" s="80">
        <f t="shared" ca="1" si="12"/>
        <v>119.55882352941177</v>
      </c>
      <c r="U13" s="79">
        <f t="shared" ca="1" si="13"/>
        <v>0</v>
      </c>
      <c r="V13" s="80">
        <f t="shared" ca="1" si="14"/>
        <v>0</v>
      </c>
      <c r="W13" s="79">
        <f t="shared" ca="1" si="15"/>
        <v>0</v>
      </c>
      <c r="X13" s="80">
        <f t="shared" ca="1" si="16"/>
        <v>0</v>
      </c>
      <c r="Y13" s="79">
        <f t="shared" ca="1" si="17"/>
        <v>0</v>
      </c>
      <c r="Z13" s="80">
        <f t="shared" ca="1" si="18"/>
        <v>0</v>
      </c>
      <c r="AB13" s="50">
        <f t="shared" ca="1" si="26"/>
        <v>1252764</v>
      </c>
      <c r="AC13" s="50">
        <f t="shared" ca="1" si="27"/>
        <v>911.65193228026101</v>
      </c>
      <c r="AD13" s="39">
        <f t="shared" ca="1" si="1"/>
        <v>4.5826601321400907E-2</v>
      </c>
    </row>
    <row r="14" spans="2:30" ht="19" thickBot="1" x14ac:dyDescent="0.4">
      <c r="B14" s="82" t="s">
        <v>10</v>
      </c>
      <c r="C14" s="79">
        <f t="shared" ca="1" si="2"/>
        <v>27000</v>
      </c>
      <c r="D14" s="80">
        <f t="shared" ca="1" si="19"/>
        <v>22.594142259414227</v>
      </c>
      <c r="E14" s="79">
        <f t="shared" ca="1" si="20"/>
        <v>28000</v>
      </c>
      <c r="F14" s="80">
        <f t="shared" ca="1" si="21"/>
        <v>23.728813559322035</v>
      </c>
      <c r="G14" s="79">
        <f t="shared" ca="1" si="22"/>
        <v>0</v>
      </c>
      <c r="H14" s="80">
        <f t="shared" ca="1" si="23"/>
        <v>0</v>
      </c>
      <c r="I14" s="79">
        <f t="shared" ca="1" si="24"/>
        <v>0</v>
      </c>
      <c r="J14" s="80">
        <f t="shared" ca="1" si="25"/>
        <v>0</v>
      </c>
      <c r="K14" s="79">
        <f t="shared" ca="1" si="3"/>
        <v>0</v>
      </c>
      <c r="L14" s="80">
        <f t="shared" ca="1" si="4"/>
        <v>0</v>
      </c>
      <c r="M14" s="79">
        <f t="shared" ca="1" si="5"/>
        <v>65909</v>
      </c>
      <c r="N14" s="80">
        <f t="shared" ca="1" si="6"/>
        <v>57.088214125056226</v>
      </c>
      <c r="O14" s="79">
        <f t="shared" ca="1" si="7"/>
        <v>33000</v>
      </c>
      <c r="P14" s="80">
        <f t="shared" ca="1" si="8"/>
        <v>0</v>
      </c>
      <c r="Q14" s="79">
        <f t="shared" ca="1" si="9"/>
        <v>0</v>
      </c>
      <c r="R14" s="80">
        <f t="shared" ca="1" si="10"/>
        <v>0</v>
      </c>
      <c r="S14" s="79">
        <f t="shared" ca="1" si="11"/>
        <v>0</v>
      </c>
      <c r="T14" s="80">
        <f t="shared" ca="1" si="12"/>
        <v>0</v>
      </c>
      <c r="U14" s="79">
        <f t="shared" ca="1" si="13"/>
        <v>0</v>
      </c>
      <c r="V14" s="80">
        <f t="shared" ca="1" si="14"/>
        <v>0</v>
      </c>
      <c r="W14" s="79">
        <f t="shared" ca="1" si="15"/>
        <v>0</v>
      </c>
      <c r="X14" s="80">
        <f t="shared" ca="1" si="16"/>
        <v>0</v>
      </c>
      <c r="Y14" s="79">
        <f t="shared" ca="1" si="17"/>
        <v>0</v>
      </c>
      <c r="Z14" s="80">
        <f t="shared" ca="1" si="18"/>
        <v>0</v>
      </c>
      <c r="AB14" s="50">
        <f t="shared" ca="1" si="26"/>
        <v>153909</v>
      </c>
      <c r="AC14" s="50">
        <f t="shared" ca="1" si="27"/>
        <v>103.41116994379249</v>
      </c>
      <c r="AD14" s="39">
        <f t="shared" ca="1" si="1"/>
        <v>5.6300519353808792E-3</v>
      </c>
    </row>
    <row r="15" spans="2:30" ht="19" thickBot="1" x14ac:dyDescent="0.4">
      <c r="B15" s="82" t="s">
        <v>67</v>
      </c>
      <c r="C15" s="79">
        <f t="shared" ca="1" si="2"/>
        <v>43000</v>
      </c>
      <c r="D15" s="80">
        <f t="shared" ca="1" si="19"/>
        <v>35.537190082644628</v>
      </c>
      <c r="E15" s="79">
        <f t="shared" ca="1" si="20"/>
        <v>42600</v>
      </c>
      <c r="F15" s="80">
        <f t="shared" ca="1" si="21"/>
        <v>36.101694915254235</v>
      </c>
      <c r="G15" s="79">
        <f t="shared" ca="1" si="22"/>
        <v>0</v>
      </c>
      <c r="H15" s="80">
        <f t="shared" ca="1" si="23"/>
        <v>0</v>
      </c>
      <c r="I15" s="79">
        <f t="shared" ca="1" si="24"/>
        <v>0</v>
      </c>
      <c r="J15" s="80">
        <f t="shared" ca="1" si="25"/>
        <v>0</v>
      </c>
      <c r="K15" s="79">
        <f t="shared" ca="1" si="3"/>
        <v>42600</v>
      </c>
      <c r="L15" s="80">
        <f t="shared" ca="1" si="4"/>
        <v>36.410256410256409</v>
      </c>
      <c r="M15" s="79">
        <f t="shared" ca="1" si="5"/>
        <v>25000</v>
      </c>
      <c r="N15" s="80">
        <f t="shared" ca="1" si="6"/>
        <v>21.367521367521366</v>
      </c>
      <c r="O15" s="79">
        <f t="shared" ca="1" si="7"/>
        <v>0</v>
      </c>
      <c r="P15" s="80">
        <f t="shared" ca="1" si="8"/>
        <v>0</v>
      </c>
      <c r="Q15" s="79">
        <f t="shared" ca="1" si="9"/>
        <v>0</v>
      </c>
      <c r="R15" s="80">
        <f t="shared" ca="1" si="10"/>
        <v>0</v>
      </c>
      <c r="S15" s="79">
        <f t="shared" ca="1" si="11"/>
        <v>0</v>
      </c>
      <c r="T15" s="80">
        <f t="shared" ca="1" si="12"/>
        <v>0</v>
      </c>
      <c r="U15" s="79">
        <f t="shared" ca="1" si="13"/>
        <v>0</v>
      </c>
      <c r="V15" s="80">
        <f t="shared" ca="1" si="14"/>
        <v>0</v>
      </c>
      <c r="W15" s="79">
        <f t="shared" ca="1" si="15"/>
        <v>0</v>
      </c>
      <c r="X15" s="80">
        <f t="shared" ca="1" si="16"/>
        <v>0</v>
      </c>
      <c r="Y15" s="79">
        <f t="shared" ca="1" si="17"/>
        <v>0</v>
      </c>
      <c r="Z15" s="80">
        <f t="shared" ca="1" si="18"/>
        <v>0</v>
      </c>
      <c r="AB15" s="50">
        <f t="shared" ca="1" si="26"/>
        <v>153200</v>
      </c>
      <c r="AC15" s="50">
        <f t="shared" ca="1" si="27"/>
        <v>129.41666277567663</v>
      </c>
      <c r="AD15" s="39">
        <f t="shared" ca="1" si="1"/>
        <v>5.6041164356883007E-3</v>
      </c>
    </row>
    <row r="16" spans="2:30" ht="19" thickBot="1" x14ac:dyDescent="0.4">
      <c r="B16" s="82" t="s">
        <v>4</v>
      </c>
      <c r="C16" s="79">
        <f t="shared" ca="1" si="2"/>
        <v>0</v>
      </c>
      <c r="D16" s="80">
        <f t="shared" ca="1" si="19"/>
        <v>0</v>
      </c>
      <c r="E16" s="79">
        <f t="shared" ca="1" si="20"/>
        <v>0</v>
      </c>
      <c r="F16" s="80">
        <f t="shared" ca="1" si="21"/>
        <v>0</v>
      </c>
      <c r="G16" s="79">
        <f t="shared" ca="1" si="22"/>
        <v>0</v>
      </c>
      <c r="H16" s="80">
        <f t="shared" ca="1" si="23"/>
        <v>0</v>
      </c>
      <c r="I16" s="79">
        <f t="shared" ca="1" si="24"/>
        <v>68000</v>
      </c>
      <c r="J16" s="80">
        <f t="shared" ca="1" si="25"/>
        <v>56.666666666666664</v>
      </c>
      <c r="K16" s="79">
        <f t="shared" ca="1" si="3"/>
        <v>69712</v>
      </c>
      <c r="L16" s="80">
        <f t="shared" ca="1" si="4"/>
        <v>59.582905982905984</v>
      </c>
      <c r="M16" s="79">
        <f t="shared" ca="1" si="5"/>
        <v>0</v>
      </c>
      <c r="N16" s="80">
        <f t="shared" ca="1" si="6"/>
        <v>0</v>
      </c>
      <c r="O16" s="79">
        <f t="shared" ca="1" si="7"/>
        <v>0</v>
      </c>
      <c r="P16" s="80">
        <f t="shared" ca="1" si="8"/>
        <v>0</v>
      </c>
      <c r="Q16" s="79">
        <f t="shared" ca="1" si="9"/>
        <v>30000</v>
      </c>
      <c r="R16" s="80">
        <f t="shared" ca="1" si="10"/>
        <v>22.900763358778626</v>
      </c>
      <c r="S16" s="79">
        <f t="shared" ca="1" si="11"/>
        <v>16200</v>
      </c>
      <c r="T16" s="80">
        <f t="shared" ca="1" si="12"/>
        <v>11.911764705882353</v>
      </c>
      <c r="U16" s="79">
        <f t="shared" ca="1" si="13"/>
        <v>30000</v>
      </c>
      <c r="V16" s="80">
        <f t="shared" ca="1" si="14"/>
        <v>22.058823529411764</v>
      </c>
      <c r="W16" s="79">
        <f t="shared" ca="1" si="15"/>
        <v>0</v>
      </c>
      <c r="X16" s="80">
        <f t="shared" ca="1" si="16"/>
        <v>0</v>
      </c>
      <c r="Y16" s="79">
        <f t="shared" ca="1" si="17"/>
        <v>0</v>
      </c>
      <c r="Z16" s="80">
        <f t="shared" ca="1" si="18"/>
        <v>0</v>
      </c>
      <c r="AB16" s="50">
        <f t="shared" ca="1" si="26"/>
        <v>213912</v>
      </c>
      <c r="AC16" s="50">
        <f t="shared" ca="1" si="27"/>
        <v>116.45425757697873</v>
      </c>
      <c r="AD16" s="39">
        <f t="shared" ca="1" si="1"/>
        <v>7.8249853458939676E-3</v>
      </c>
    </row>
    <row r="17" spans="2:30" ht="19" thickBot="1" x14ac:dyDescent="0.4">
      <c r="B17" s="82" t="s">
        <v>78</v>
      </c>
      <c r="C17" s="79">
        <f t="shared" ca="1" si="2"/>
        <v>0</v>
      </c>
      <c r="D17" s="80">
        <f t="shared" ca="1" si="19"/>
        <v>0</v>
      </c>
      <c r="E17" s="79">
        <f t="shared" ca="1" si="20"/>
        <v>0</v>
      </c>
      <c r="F17" s="80">
        <f t="shared" ca="1" si="21"/>
        <v>0</v>
      </c>
      <c r="G17" s="79">
        <f t="shared" ca="1" si="22"/>
        <v>0</v>
      </c>
      <c r="H17" s="80">
        <f t="shared" ca="1" si="23"/>
        <v>0</v>
      </c>
      <c r="I17" s="79">
        <f t="shared" ca="1" si="24"/>
        <v>0</v>
      </c>
      <c r="J17" s="80">
        <f t="shared" ca="1" si="25"/>
        <v>0</v>
      </c>
      <c r="K17" s="79">
        <f t="shared" ca="1" si="3"/>
        <v>0</v>
      </c>
      <c r="L17" s="80">
        <f t="shared" ca="1" si="4"/>
        <v>0</v>
      </c>
      <c r="M17" s="79">
        <f t="shared" ca="1" si="5"/>
        <v>0</v>
      </c>
      <c r="N17" s="80">
        <f t="shared" ca="1" si="6"/>
        <v>0</v>
      </c>
      <c r="O17" s="79">
        <f t="shared" ca="1" si="7"/>
        <v>0</v>
      </c>
      <c r="P17" s="80">
        <f t="shared" ca="1" si="8"/>
        <v>0</v>
      </c>
      <c r="Q17" s="79">
        <f t="shared" ca="1" si="9"/>
        <v>100000</v>
      </c>
      <c r="R17" s="80">
        <f t="shared" ca="1" si="10"/>
        <v>76.92307692307692</v>
      </c>
      <c r="S17" s="79">
        <f t="shared" ca="1" si="11"/>
        <v>0</v>
      </c>
      <c r="T17" s="80">
        <f t="shared" ca="1" si="12"/>
        <v>0</v>
      </c>
      <c r="U17" s="79">
        <f t="shared" ca="1" si="13"/>
        <v>0</v>
      </c>
      <c r="V17" s="80">
        <f t="shared" ca="1" si="14"/>
        <v>0</v>
      </c>
      <c r="W17" s="79">
        <f t="shared" ca="1" si="15"/>
        <v>0</v>
      </c>
      <c r="X17" s="80">
        <f t="shared" ca="1" si="16"/>
        <v>0</v>
      </c>
      <c r="Y17" s="79">
        <f t="shared" ca="1" si="17"/>
        <v>0</v>
      </c>
      <c r="Z17" s="80">
        <f t="shared" ca="1" si="18"/>
        <v>0</v>
      </c>
      <c r="AB17" s="50">
        <f t="shared" ca="1" si="26"/>
        <v>100000</v>
      </c>
      <c r="AC17" s="50">
        <f t="shared" ca="1" si="27"/>
        <v>76.92307692307692</v>
      </c>
      <c r="AD17" s="39">
        <f t="shared" ca="1" si="1"/>
        <v>3.6580394488827032E-3</v>
      </c>
    </row>
    <row r="18" spans="2:30" ht="19" thickBot="1" x14ac:dyDescent="0.4">
      <c r="B18" s="82" t="s">
        <v>79</v>
      </c>
      <c r="C18" s="79">
        <f t="shared" ca="1" si="2"/>
        <v>0</v>
      </c>
      <c r="D18" s="80">
        <f t="shared" ca="1" si="19"/>
        <v>0</v>
      </c>
      <c r="E18" s="79">
        <f t="shared" ca="1" si="20"/>
        <v>0</v>
      </c>
      <c r="F18" s="80">
        <f t="shared" ca="1" si="21"/>
        <v>0</v>
      </c>
      <c r="G18" s="79">
        <f t="shared" ca="1" si="22"/>
        <v>0</v>
      </c>
      <c r="H18" s="80">
        <f t="shared" ca="1" si="23"/>
        <v>0</v>
      </c>
      <c r="I18" s="79">
        <f t="shared" ca="1" si="24"/>
        <v>0</v>
      </c>
      <c r="J18" s="80">
        <f t="shared" ca="1" si="25"/>
        <v>0</v>
      </c>
      <c r="K18" s="79">
        <f t="shared" ca="1" si="3"/>
        <v>0</v>
      </c>
      <c r="L18" s="80">
        <f t="shared" ca="1" si="4"/>
        <v>0</v>
      </c>
      <c r="M18" s="79">
        <f t="shared" ca="1" si="5"/>
        <v>0</v>
      </c>
      <c r="N18" s="80">
        <f t="shared" ca="1" si="6"/>
        <v>0</v>
      </c>
      <c r="O18" s="79">
        <f t="shared" ca="1" si="7"/>
        <v>0</v>
      </c>
      <c r="P18" s="80">
        <f t="shared" ca="1" si="8"/>
        <v>0</v>
      </c>
      <c r="Q18" s="79">
        <f t="shared" ca="1" si="9"/>
        <v>0</v>
      </c>
      <c r="R18" s="80">
        <f t="shared" ca="1" si="10"/>
        <v>0</v>
      </c>
      <c r="S18" s="79">
        <f t="shared" ca="1" si="11"/>
        <v>0</v>
      </c>
      <c r="T18" s="80">
        <f t="shared" ca="1" si="12"/>
        <v>0</v>
      </c>
      <c r="U18" s="79">
        <f t="shared" ca="1" si="13"/>
        <v>0</v>
      </c>
      <c r="V18" s="80">
        <f t="shared" ca="1" si="14"/>
        <v>0</v>
      </c>
      <c r="W18" s="79">
        <f t="shared" ca="1" si="15"/>
        <v>0</v>
      </c>
      <c r="X18" s="80">
        <f t="shared" ca="1" si="16"/>
        <v>0</v>
      </c>
      <c r="Y18" s="79">
        <f t="shared" ca="1" si="17"/>
        <v>0</v>
      </c>
      <c r="Z18" s="80">
        <f t="shared" ca="1" si="18"/>
        <v>0</v>
      </c>
      <c r="AB18" s="50">
        <f t="shared" ca="1" si="26"/>
        <v>0</v>
      </c>
      <c r="AC18" s="50">
        <f t="shared" ca="1" si="27"/>
        <v>0</v>
      </c>
      <c r="AD18" s="39">
        <f t="shared" ca="1" si="1"/>
        <v>0</v>
      </c>
    </row>
    <row r="19" spans="2:30" ht="19" thickBot="1" x14ac:dyDescent="0.4">
      <c r="B19" s="82" t="s">
        <v>76</v>
      </c>
      <c r="C19" s="79">
        <f t="shared" ca="1" si="2"/>
        <v>8000</v>
      </c>
      <c r="D19" s="80">
        <f t="shared" ca="1" si="19"/>
        <v>6.6115702479338845</v>
      </c>
      <c r="E19" s="79">
        <f t="shared" ca="1" si="20"/>
        <v>0</v>
      </c>
      <c r="F19" s="80">
        <f t="shared" ca="1" si="21"/>
        <v>0</v>
      </c>
      <c r="G19" s="79">
        <f t="shared" ca="1" si="22"/>
        <v>0</v>
      </c>
      <c r="H19" s="80">
        <f t="shared" ca="1" si="23"/>
        <v>0</v>
      </c>
      <c r="I19" s="79">
        <f t="shared" ca="1" si="24"/>
        <v>0</v>
      </c>
      <c r="J19" s="80">
        <f t="shared" ca="1" si="25"/>
        <v>0</v>
      </c>
      <c r="K19" s="79">
        <f t="shared" ca="1" si="3"/>
        <v>400000</v>
      </c>
      <c r="L19" s="80">
        <f t="shared" ca="1" si="4"/>
        <v>341.88034188034186</v>
      </c>
      <c r="M19" s="79">
        <f t="shared" ca="1" si="5"/>
        <v>336000</v>
      </c>
      <c r="N19" s="80">
        <f t="shared" ca="1" si="6"/>
        <v>287.17948717948718</v>
      </c>
      <c r="O19" s="79">
        <f t="shared" ca="1" si="7"/>
        <v>70000</v>
      </c>
      <c r="P19" s="80">
        <f t="shared" ca="1" si="8"/>
        <v>57.613168724279838</v>
      </c>
      <c r="Q19" s="79">
        <f t="shared" ca="1" si="9"/>
        <v>63000</v>
      </c>
      <c r="R19" s="80">
        <f t="shared" ca="1" si="10"/>
        <v>48.46153846153846</v>
      </c>
      <c r="S19" s="79">
        <f t="shared" ca="1" si="11"/>
        <v>0</v>
      </c>
      <c r="T19" s="80">
        <f t="shared" ca="1" si="12"/>
        <v>0</v>
      </c>
      <c r="U19" s="79">
        <f t="shared" ca="1" si="13"/>
        <v>0</v>
      </c>
      <c r="V19" s="80">
        <f t="shared" ca="1" si="14"/>
        <v>0</v>
      </c>
      <c r="W19" s="79">
        <f t="shared" ca="1" si="15"/>
        <v>0</v>
      </c>
      <c r="X19" s="80">
        <f t="shared" ca="1" si="16"/>
        <v>0</v>
      </c>
      <c r="Y19" s="79">
        <f t="shared" ca="1" si="17"/>
        <v>112000</v>
      </c>
      <c r="Z19" s="80">
        <f t="shared" ca="1" si="18"/>
        <v>89.959839357429715</v>
      </c>
      <c r="AB19" s="50">
        <f t="shared" ca="1" si="26"/>
        <v>989000</v>
      </c>
      <c r="AC19" s="50">
        <f t="shared" ca="1" si="27"/>
        <v>831.70594585101094</v>
      </c>
      <c r="AD19" s="39">
        <f t="shared" ca="1" si="1"/>
        <v>3.6178010149449935E-2</v>
      </c>
    </row>
    <row r="20" spans="2:30" ht="19" thickBot="1" x14ac:dyDescent="0.4">
      <c r="B20" s="82" t="s">
        <v>91</v>
      </c>
      <c r="C20" s="91">
        <f t="shared" ca="1" si="2"/>
        <v>0</v>
      </c>
      <c r="D20" s="92">
        <f t="shared" ca="1" si="19"/>
        <v>0</v>
      </c>
      <c r="E20" s="91">
        <f t="shared" ca="1" si="20"/>
        <v>0</v>
      </c>
      <c r="F20" s="92">
        <f t="shared" ca="1" si="21"/>
        <v>0</v>
      </c>
      <c r="G20" s="91">
        <f t="shared" ca="1" si="22"/>
        <v>0</v>
      </c>
      <c r="H20" s="92">
        <f t="shared" ca="1" si="23"/>
        <v>0</v>
      </c>
      <c r="I20" s="91">
        <f t="shared" ca="1" si="24"/>
        <v>0</v>
      </c>
      <c r="J20" s="92">
        <f t="shared" ca="1" si="25"/>
        <v>0</v>
      </c>
      <c r="K20" s="91">
        <f t="shared" ca="1" si="3"/>
        <v>0</v>
      </c>
      <c r="L20" s="92">
        <f t="shared" ca="1" si="4"/>
        <v>0</v>
      </c>
      <c r="M20" s="91">
        <f t="shared" ca="1" si="5"/>
        <v>0</v>
      </c>
      <c r="N20" s="92">
        <f t="shared" ca="1" si="6"/>
        <v>0</v>
      </c>
      <c r="O20" s="91">
        <f t="shared" ca="1" si="7"/>
        <v>0</v>
      </c>
      <c r="P20" s="92">
        <f t="shared" ca="1" si="8"/>
        <v>0</v>
      </c>
      <c r="Q20" s="91">
        <f t="shared" ca="1" si="9"/>
        <v>0</v>
      </c>
      <c r="R20" s="92">
        <f t="shared" ca="1" si="10"/>
        <v>0</v>
      </c>
      <c r="S20" s="91">
        <f t="shared" ca="1" si="11"/>
        <v>0</v>
      </c>
      <c r="T20" s="92">
        <f t="shared" ca="1" si="12"/>
        <v>0</v>
      </c>
      <c r="U20" s="91">
        <f t="shared" ca="1" si="13"/>
        <v>0</v>
      </c>
      <c r="V20" s="92">
        <f t="shared" ca="1" si="14"/>
        <v>0</v>
      </c>
      <c r="W20" s="91">
        <f t="shared" ca="1" si="15"/>
        <v>0</v>
      </c>
      <c r="X20" s="92">
        <f t="shared" ca="1" si="16"/>
        <v>0</v>
      </c>
      <c r="Y20" s="91">
        <f t="shared" ca="1" si="17"/>
        <v>0</v>
      </c>
      <c r="Z20" s="92">
        <f t="shared" ca="1" si="18"/>
        <v>0</v>
      </c>
      <c r="AB20" s="50">
        <f t="shared" ca="1" si="26"/>
        <v>0</v>
      </c>
      <c r="AC20" s="50">
        <f t="shared" ca="1" si="27"/>
        <v>0</v>
      </c>
      <c r="AD20" s="39">
        <f t="shared" ca="1" si="1"/>
        <v>0</v>
      </c>
    </row>
    <row r="21" spans="2:30" ht="19" thickBot="1" x14ac:dyDescent="0.4">
      <c r="B21" s="82" t="s">
        <v>81</v>
      </c>
      <c r="C21" s="91">
        <f t="shared" ca="1" si="2"/>
        <v>0</v>
      </c>
      <c r="D21" s="92">
        <f t="shared" ca="1" si="19"/>
        <v>0</v>
      </c>
      <c r="E21" s="91">
        <f t="shared" ca="1" si="20"/>
        <v>0</v>
      </c>
      <c r="F21" s="92">
        <f t="shared" ca="1" si="21"/>
        <v>0</v>
      </c>
      <c r="G21" s="91">
        <f t="shared" ca="1" si="22"/>
        <v>0</v>
      </c>
      <c r="H21" s="92">
        <f t="shared" ca="1" si="23"/>
        <v>0</v>
      </c>
      <c r="I21" s="91">
        <f t="shared" ca="1" si="24"/>
        <v>0</v>
      </c>
      <c r="J21" s="92">
        <f t="shared" ca="1" si="25"/>
        <v>0</v>
      </c>
      <c r="K21" s="91">
        <f t="shared" ca="1" si="3"/>
        <v>0</v>
      </c>
      <c r="L21" s="92">
        <f t="shared" ca="1" si="4"/>
        <v>0</v>
      </c>
      <c r="M21" s="91">
        <f t="shared" ca="1" si="5"/>
        <v>0</v>
      </c>
      <c r="N21" s="92">
        <f t="shared" ca="1" si="6"/>
        <v>0</v>
      </c>
      <c r="O21" s="91">
        <f t="shared" ca="1" si="7"/>
        <v>0</v>
      </c>
      <c r="P21" s="92">
        <f t="shared" ca="1" si="8"/>
        <v>0</v>
      </c>
      <c r="Q21" s="91">
        <f t="shared" ca="1" si="9"/>
        <v>0</v>
      </c>
      <c r="R21" s="92">
        <f t="shared" ca="1" si="10"/>
        <v>0</v>
      </c>
      <c r="S21" s="91">
        <f t="shared" ca="1" si="11"/>
        <v>0</v>
      </c>
      <c r="T21" s="92">
        <f t="shared" ca="1" si="12"/>
        <v>0</v>
      </c>
      <c r="U21" s="91">
        <f t="shared" ca="1" si="13"/>
        <v>0</v>
      </c>
      <c r="V21" s="92">
        <f t="shared" ca="1" si="14"/>
        <v>0</v>
      </c>
      <c r="W21" s="91">
        <f t="shared" ca="1" si="15"/>
        <v>0</v>
      </c>
      <c r="X21" s="92">
        <f t="shared" ca="1" si="16"/>
        <v>0</v>
      </c>
      <c r="Y21" s="91">
        <f t="shared" ca="1" si="17"/>
        <v>0</v>
      </c>
      <c r="Z21" s="92">
        <f t="shared" ca="1" si="18"/>
        <v>0</v>
      </c>
      <c r="AB21" s="50">
        <f t="shared" ca="1" si="26"/>
        <v>0</v>
      </c>
      <c r="AC21" s="50">
        <f t="shared" ca="1" si="27"/>
        <v>0</v>
      </c>
      <c r="AD21" s="39">
        <f t="shared" ca="1" si="1"/>
        <v>0</v>
      </c>
    </row>
    <row r="22" spans="2:30" ht="19" thickBot="1" x14ac:dyDescent="0.4">
      <c r="B22" s="82" t="s">
        <v>33</v>
      </c>
      <c r="C22" s="91">
        <f t="shared" ca="1" si="2"/>
        <v>307000</v>
      </c>
      <c r="D22" s="92">
        <f t="shared" ca="1" si="19"/>
        <v>255.67965697292436</v>
      </c>
      <c r="E22" s="91">
        <f t="shared" ca="1" si="20"/>
        <v>94000</v>
      </c>
      <c r="F22" s="92">
        <f t="shared" ca="1" si="21"/>
        <v>78.778540411822377</v>
      </c>
      <c r="G22" s="91">
        <f t="shared" ca="1" si="22"/>
        <v>1068000</v>
      </c>
      <c r="H22" s="92">
        <f t="shared" ca="1" si="23"/>
        <v>889.62809917355355</v>
      </c>
      <c r="I22" s="91">
        <f t="shared" ca="1" si="24"/>
        <v>375300</v>
      </c>
      <c r="J22" s="92">
        <f t="shared" ca="1" si="25"/>
        <v>280.59934701492534</v>
      </c>
      <c r="K22" s="91">
        <f t="shared" ca="1" si="3"/>
        <v>178000</v>
      </c>
      <c r="L22" s="92">
        <f t="shared" ca="1" si="4"/>
        <v>152.13675213675214</v>
      </c>
      <c r="M22" s="91">
        <f t="shared" ca="1" si="5"/>
        <v>528700</v>
      </c>
      <c r="N22" s="92">
        <f t="shared" ca="1" si="6"/>
        <v>453.02744039586145</v>
      </c>
      <c r="O22" s="91">
        <f t="shared" ca="1" si="7"/>
        <v>50000</v>
      </c>
      <c r="P22" s="92">
        <f t="shared" ca="1" si="8"/>
        <v>41.152263374485599</v>
      </c>
      <c r="Q22" s="91">
        <f t="shared" ca="1" si="9"/>
        <v>200000</v>
      </c>
      <c r="R22" s="92">
        <f t="shared" ca="1" si="10"/>
        <v>152.90663534938346</v>
      </c>
      <c r="S22" s="91">
        <f t="shared" ca="1" si="11"/>
        <v>110000</v>
      </c>
      <c r="T22" s="92">
        <f t="shared" ca="1" si="12"/>
        <v>83.688819039066018</v>
      </c>
      <c r="U22" s="91">
        <f t="shared" ca="1" si="13"/>
        <v>10000</v>
      </c>
      <c r="V22" s="92">
        <f t="shared" ca="1" si="14"/>
        <v>7.3529411764705879</v>
      </c>
      <c r="W22" s="91">
        <f t="shared" ca="1" si="15"/>
        <v>0</v>
      </c>
      <c r="X22" s="92">
        <f t="shared" ca="1" si="16"/>
        <v>0</v>
      </c>
      <c r="Y22" s="91">
        <f t="shared" ca="1" si="17"/>
        <v>20000</v>
      </c>
      <c r="Z22" s="92">
        <f t="shared" ca="1" si="18"/>
        <v>16.064257028112451</v>
      </c>
      <c r="AB22" s="50">
        <f t="shared" ca="1" si="26"/>
        <v>2941000</v>
      </c>
      <c r="AC22" s="50">
        <f t="shared" ca="1" si="27"/>
        <v>2130.415405058432</v>
      </c>
      <c r="AD22" s="39">
        <f t="shared" ca="1" si="1"/>
        <v>0.1075829401916403</v>
      </c>
    </row>
    <row r="23" spans="2:30" ht="19" thickBot="1" x14ac:dyDescent="0.4">
      <c r="B23" s="82" t="s">
        <v>32</v>
      </c>
      <c r="C23" s="91">
        <f t="shared" ca="1" si="2"/>
        <v>0</v>
      </c>
      <c r="D23" s="92">
        <f t="shared" ca="1" si="19"/>
        <v>0</v>
      </c>
      <c r="E23" s="91">
        <f t="shared" ca="1" si="20"/>
        <v>35000</v>
      </c>
      <c r="F23" s="92">
        <f t="shared" ca="1" si="21"/>
        <v>29.661016949152543</v>
      </c>
      <c r="G23" s="91">
        <f t="shared" ca="1" si="22"/>
        <v>0</v>
      </c>
      <c r="H23" s="92">
        <f t="shared" ca="1" si="23"/>
        <v>0</v>
      </c>
      <c r="I23" s="91">
        <f t="shared" ca="1" si="24"/>
        <v>0</v>
      </c>
      <c r="J23" s="92">
        <f t="shared" ca="1" si="25"/>
        <v>0</v>
      </c>
      <c r="K23" s="91">
        <f t="shared" ca="1" si="3"/>
        <v>0</v>
      </c>
      <c r="L23" s="92">
        <f t="shared" ca="1" si="4"/>
        <v>0</v>
      </c>
      <c r="M23" s="91">
        <f t="shared" ca="1" si="5"/>
        <v>0</v>
      </c>
      <c r="N23" s="92">
        <f t="shared" ca="1" si="6"/>
        <v>0</v>
      </c>
      <c r="O23" s="91">
        <f t="shared" ca="1" si="7"/>
        <v>0</v>
      </c>
      <c r="P23" s="92">
        <f t="shared" ca="1" si="8"/>
        <v>0</v>
      </c>
      <c r="Q23" s="91">
        <f t="shared" ca="1" si="9"/>
        <v>0</v>
      </c>
      <c r="R23" s="92">
        <f t="shared" ca="1" si="10"/>
        <v>0</v>
      </c>
      <c r="S23" s="91">
        <f t="shared" ca="1" si="11"/>
        <v>0</v>
      </c>
      <c r="T23" s="92">
        <f t="shared" ca="1" si="12"/>
        <v>0</v>
      </c>
      <c r="U23" s="91">
        <f t="shared" ca="1" si="13"/>
        <v>0</v>
      </c>
      <c r="V23" s="92">
        <f t="shared" ca="1" si="14"/>
        <v>0</v>
      </c>
      <c r="W23" s="91">
        <f t="shared" ca="1" si="15"/>
        <v>0</v>
      </c>
      <c r="X23" s="92">
        <f t="shared" ca="1" si="16"/>
        <v>0</v>
      </c>
      <c r="Y23" s="91">
        <f t="shared" ca="1" si="17"/>
        <v>0</v>
      </c>
      <c r="Z23" s="92">
        <f t="shared" ca="1" si="18"/>
        <v>0</v>
      </c>
      <c r="AB23" s="50">
        <f t="shared" ca="1" si="26"/>
        <v>35000</v>
      </c>
      <c r="AC23" s="50">
        <f t="shared" ca="1" si="27"/>
        <v>29.661016949152543</v>
      </c>
      <c r="AD23" s="39">
        <f t="shared" ca="1" si="1"/>
        <v>1.280313807108946E-3</v>
      </c>
    </row>
    <row r="24" spans="2:30" ht="18.5" x14ac:dyDescent="0.45">
      <c r="B24" s="81" t="s">
        <v>51</v>
      </c>
      <c r="C24" s="93">
        <f t="shared" ref="C24:Z24" ca="1" si="28">SUM(C25:C27)</f>
        <v>80000</v>
      </c>
      <c r="D24" s="94">
        <f t="shared" ca="1" si="28"/>
        <v>66.945606694560666</v>
      </c>
      <c r="E24" s="95">
        <f t="shared" ca="1" si="28"/>
        <v>0</v>
      </c>
      <c r="F24" s="94">
        <f t="shared" ca="1" si="28"/>
        <v>0</v>
      </c>
      <c r="G24" s="95">
        <f t="shared" ca="1" si="28"/>
        <v>0</v>
      </c>
      <c r="H24" s="94">
        <f t="shared" ca="1" si="28"/>
        <v>0</v>
      </c>
      <c r="I24" s="95">
        <f t="shared" ca="1" si="28"/>
        <v>0</v>
      </c>
      <c r="J24" s="94">
        <f t="shared" ca="1" si="28"/>
        <v>0</v>
      </c>
      <c r="K24" s="95">
        <f t="shared" ca="1" si="28"/>
        <v>0</v>
      </c>
      <c r="L24" s="94">
        <f t="shared" ca="1" si="28"/>
        <v>0</v>
      </c>
      <c r="M24" s="95">
        <f t="shared" ca="1" si="28"/>
        <v>0</v>
      </c>
      <c r="N24" s="94">
        <f t="shared" ca="1" si="28"/>
        <v>0</v>
      </c>
      <c r="O24" s="95">
        <f t="shared" ca="1" si="28"/>
        <v>969000</v>
      </c>
      <c r="P24" s="94">
        <f t="shared" ca="1" si="28"/>
        <v>751.16279069767438</v>
      </c>
      <c r="Q24" s="95">
        <f t="shared" ca="1" si="28"/>
        <v>0</v>
      </c>
      <c r="R24" s="94">
        <f t="shared" ca="1" si="28"/>
        <v>0</v>
      </c>
      <c r="S24" s="95">
        <f t="shared" ca="1" si="28"/>
        <v>387600</v>
      </c>
      <c r="T24" s="94">
        <f t="shared" ca="1" si="28"/>
        <v>285</v>
      </c>
      <c r="U24" s="95">
        <f t="shared" ca="1" si="28"/>
        <v>387600</v>
      </c>
      <c r="V24" s="94">
        <f t="shared" ca="1" si="28"/>
        <v>285</v>
      </c>
      <c r="W24" s="95">
        <f t="shared" ca="1" si="28"/>
        <v>387600</v>
      </c>
      <c r="X24" s="94">
        <f t="shared" ca="1" si="28"/>
        <v>0</v>
      </c>
      <c r="Y24" s="95">
        <f t="shared" ca="1" si="28"/>
        <v>387600</v>
      </c>
      <c r="Z24" s="94">
        <f t="shared" ca="1" si="28"/>
        <v>311.32530120481925</v>
      </c>
      <c r="AA24" s="48"/>
      <c r="AB24" s="49">
        <f ca="1">SUM(C24,E24,G24,I24,K24,M24,O24,Q24,S24,U24,W24,Y24)</f>
        <v>2599400</v>
      </c>
      <c r="AC24" s="49">
        <f ca="1">SUM(D24,F24,H24,L24,N24,P24,R24,T24,V24,X24,Z24)</f>
        <v>1699.4336985970542</v>
      </c>
      <c r="AD24" s="38">
        <f t="shared" ca="1" si="1"/>
        <v>9.5087077434256984E-2</v>
      </c>
    </row>
    <row r="25" spans="2:30" ht="19" thickBot="1" x14ac:dyDescent="0.4">
      <c r="B25" s="82" t="s">
        <v>92</v>
      </c>
      <c r="C25" s="86">
        <f ca="1">SUMIF(INDIRECT(C$5&amp;"[SUBCATEGORÍA]"),$B25,INDIRECT(C$5&amp;"[ARS]"))</f>
        <v>80000</v>
      </c>
      <c r="D25" s="87">
        <f ca="1">SUMIF(INDIRECT(C$5&amp;"[SUBCATEGORÍA]"),$B25,INDIRECT(C$5&amp;"[USD]"))</f>
        <v>66.945606694560666</v>
      </c>
      <c r="E25" s="86">
        <f ca="1">SUMIF(INDIRECT(E$5&amp;"[SUBCATEGORÍA]"),$B25,INDIRECT(E$5&amp;"[ARS]"))</f>
        <v>0</v>
      </c>
      <c r="F25" s="87">
        <f ca="1">SUMIF(INDIRECT(E$5&amp;"[SUBCATEGORÍA]"),$B25,INDIRECT(E$5&amp;"[USD]"))</f>
        <v>0</v>
      </c>
      <c r="G25" s="86">
        <f ca="1">SUMIF(INDIRECT(G$5&amp;"[SUBCATEGORÍA]"),$B25,INDIRECT(G$5&amp;"[ARS]"))</f>
        <v>0</v>
      </c>
      <c r="H25" s="87">
        <f ca="1">SUMIF(INDIRECT(G$5&amp;"[SUBCATEGORÍA]"),$B25,INDIRECT(G$5&amp;"[USD]"))</f>
        <v>0</v>
      </c>
      <c r="I25" s="86">
        <f ca="1">SUMIF(INDIRECT(I$5&amp;"[SUBCATEGORÍA]"),$B25,INDIRECT(I$5&amp;"[ARS]"))</f>
        <v>0</v>
      </c>
      <c r="J25" s="87">
        <f ca="1">SUMIF(INDIRECT(I$5&amp;"[SUBCATEGORÍA]"),$B25,INDIRECT(I$5&amp;"[USD]"))</f>
        <v>0</v>
      </c>
      <c r="K25" s="86">
        <f ca="1">SUMIF(INDIRECT(K$5&amp;"[SUBCATEGORÍA]"),$B25,INDIRECT(K$5&amp;"[ARS]"))</f>
        <v>0</v>
      </c>
      <c r="L25" s="87">
        <f ca="1">SUMIF(INDIRECT(K$5&amp;"[SUBCATEGORÍA]"),$B25,INDIRECT(K$5&amp;"[USD]"))</f>
        <v>0</v>
      </c>
      <c r="M25" s="86">
        <f ca="1">SUMIF(INDIRECT(M$5&amp;"[SUBCATEGORÍA]"),$B25,INDIRECT(M$5&amp;"[ARS]"))</f>
        <v>0</v>
      </c>
      <c r="N25" s="87">
        <f ca="1">SUMIF(INDIRECT(M$5&amp;"[SUBCATEGORÍA]"),$B25,INDIRECT(M$5&amp;"[USD]"))</f>
        <v>0</v>
      </c>
      <c r="O25" s="86">
        <f ca="1">SUMIF(INDIRECT(O$5&amp;"[SUBCATEGORÍA]"),$B25,INDIRECT(O$5&amp;"[ARS]"))</f>
        <v>0</v>
      </c>
      <c r="P25" s="87">
        <f ca="1">SUMIF(INDIRECT(O$5&amp;"[SUBCATEGORÍA]"),$B25,INDIRECT(O$5&amp;"[USD]"))</f>
        <v>0</v>
      </c>
      <c r="Q25" s="86">
        <f ca="1">SUMIF(INDIRECT(Q$5&amp;"[SUBCATEGORÍA]"),$B25,INDIRECT(Q$5&amp;"[ARS]"))</f>
        <v>0</v>
      </c>
      <c r="R25" s="87">
        <f ca="1">SUMIF(INDIRECT(Q$5&amp;"[SUBCATEGORÍA]"),$B25,INDIRECT(Q$5&amp;"[USD]"))</f>
        <v>0</v>
      </c>
      <c r="S25" s="86">
        <f ca="1">SUMIF(INDIRECT(S$5&amp;"[SUBCATEGORÍA]"),$B25,INDIRECT(S$5&amp;"[ARS]"))</f>
        <v>0</v>
      </c>
      <c r="T25" s="87">
        <f ca="1">SUMIF(INDIRECT(S$5&amp;"[SUBCATEGORÍA]"),$B25,INDIRECT(S$5&amp;"[USD]"))</f>
        <v>0</v>
      </c>
      <c r="U25" s="86">
        <f ca="1">SUMIF(INDIRECT(U$5&amp;"[SUBCATEGORÍA]"),$B25,INDIRECT(U$5&amp;"[ARS]"))</f>
        <v>0</v>
      </c>
      <c r="V25" s="87">
        <f ca="1">SUMIF(INDIRECT(U$5&amp;"[SUBCATEGORÍA]"),$B25,INDIRECT(U$5&amp;"[USD]"))</f>
        <v>0</v>
      </c>
      <c r="W25" s="86">
        <f ca="1">SUMIF(INDIRECT(W$5&amp;"[SUBCATEGORÍA]"),$B25,INDIRECT(W$5&amp;"[ARS]"))</f>
        <v>0</v>
      </c>
      <c r="X25" s="87">
        <f ca="1">SUMIF(INDIRECT(W$5&amp;"[SUBCATEGORÍA]"),$B25,INDIRECT(W$5&amp;"[USD]"))</f>
        <v>0</v>
      </c>
      <c r="Y25" s="86">
        <f ca="1">SUMIF(INDIRECT(Y$5&amp;"[SUBCATEGORÍA]"),$B25,INDIRECT(Y$5&amp;"[ARS]"))</f>
        <v>0</v>
      </c>
      <c r="Z25" s="87">
        <f ca="1">SUMIF(INDIRECT(Y$5&amp;"[SUBCATEGORÍA]"),$B25,INDIRECT(Y$5&amp;"[USD]"))</f>
        <v>0</v>
      </c>
      <c r="AB25" s="50">
        <f ca="1">SUM(C25,E25,G25,I25,K25,M25,O25,Q25,S25,U25,W25,Y25)</f>
        <v>80000</v>
      </c>
      <c r="AC25" s="50">
        <f ca="1">SUM(D25,F25,H25,L25,N25,P25,R25,T25,V25,X25,Z25)</f>
        <v>66.945606694560666</v>
      </c>
      <c r="AD25" s="39">
        <f t="shared" ca="1" si="1"/>
        <v>2.9264315591061626E-3</v>
      </c>
    </row>
    <row r="26" spans="2:30" ht="19" thickBot="1" x14ac:dyDescent="0.4">
      <c r="B26" s="82" t="s">
        <v>88</v>
      </c>
      <c r="C26" s="79">
        <f ca="1">SUMIF(INDIRECT(C$5&amp;"[SUBCATEGORÍA]"),$B26,INDIRECT(C$5&amp;"[ARS]"))</f>
        <v>0</v>
      </c>
      <c r="D26" s="87">
        <f t="shared" ref="D26:D27" ca="1" si="29">SUMIF(INDIRECT(C$5&amp;"[SUBCATEGORÍA]"),$B26,INDIRECT(C$5&amp;"[USD]"))</f>
        <v>0</v>
      </c>
      <c r="E26" s="86">
        <f t="shared" ref="E26:E27" ca="1" si="30">SUMIF(INDIRECT(E$5&amp;"[SUBCATEGORÍA]"),$B26,INDIRECT(E$5&amp;"[ARS]"))</f>
        <v>0</v>
      </c>
      <c r="F26" s="87">
        <f t="shared" ref="F26:F27" ca="1" si="31">SUMIF(INDIRECT(E$5&amp;"[SUBCATEGORÍA]"),$B26,INDIRECT(E$5&amp;"[USD]"))</f>
        <v>0</v>
      </c>
      <c r="G26" s="86">
        <f t="shared" ref="G26:G27" ca="1" si="32">SUMIF(INDIRECT(G$5&amp;"[SUBCATEGORÍA]"),$B26,INDIRECT(G$5&amp;"[ARS]"))</f>
        <v>0</v>
      </c>
      <c r="H26" s="87">
        <f t="shared" ref="H26:H27" ca="1" si="33">SUMIF(INDIRECT(G$5&amp;"[SUBCATEGORÍA]"),$B26,INDIRECT(G$5&amp;"[USD]"))</f>
        <v>0</v>
      </c>
      <c r="I26" s="86">
        <f t="shared" ref="I26:I27" ca="1" si="34">SUMIF(INDIRECT(I$5&amp;"[SUBCATEGORÍA]"),$B26,INDIRECT(I$5&amp;"[ARS]"))</f>
        <v>0</v>
      </c>
      <c r="J26" s="87">
        <f t="shared" ref="J26:J27" ca="1" si="35">SUMIF(INDIRECT(I$5&amp;"[SUBCATEGORÍA]"),$B26,INDIRECT(I$5&amp;"[USD]"))</f>
        <v>0</v>
      </c>
      <c r="K26" s="79">
        <f ca="1">SUMIF(INDIRECT(K$5&amp;"[SUBCATEGORÍA]"),$B26,INDIRECT(K$5&amp;"[ARS]"))</f>
        <v>0</v>
      </c>
      <c r="L26" s="80">
        <f ca="1">SUMIF(INDIRECT(K$5&amp;"[SUBCATEGORÍA]"),$B26,INDIRECT(K$5&amp;"[USD]"))</f>
        <v>0</v>
      </c>
      <c r="M26" s="79">
        <f ca="1">SUMIF(INDIRECT(M$5&amp;"[SUBCATEGORÍA]"),$B26,INDIRECT(M$5&amp;"[ARS]"))</f>
        <v>0</v>
      </c>
      <c r="N26" s="80">
        <f ca="1">SUMIF(INDIRECT(M$5&amp;"[SUBCATEGORÍA]"),$B26,INDIRECT(M$5&amp;"[USD]"))</f>
        <v>0</v>
      </c>
      <c r="O26" s="79">
        <f ca="1">SUMIF(INDIRECT(O$5&amp;"[SUBCATEGORÍA]"),$B26,INDIRECT(O$5&amp;"[ARS]"))</f>
        <v>969000</v>
      </c>
      <c r="P26" s="80">
        <f ca="1">SUMIF(INDIRECT(O$5&amp;"[SUBCATEGORÍA]"),$B26,INDIRECT(O$5&amp;"[USD]"))</f>
        <v>751.16279069767438</v>
      </c>
      <c r="Q26" s="79">
        <f ca="1">SUMIF(INDIRECT(Q$5&amp;"[SUBCATEGORÍA]"),$B26,INDIRECT(Q$5&amp;"[ARS]"))</f>
        <v>0</v>
      </c>
      <c r="R26" s="80">
        <f ca="1">SUMIF(INDIRECT(Q$5&amp;"[SUBCATEGORÍA]"),$B26,INDIRECT(Q$5&amp;"[USD]"))</f>
        <v>0</v>
      </c>
      <c r="S26" s="79">
        <f ca="1">SUMIF(INDIRECT(S$5&amp;"[SUBCATEGORÍA]"),$B26,INDIRECT(S$5&amp;"[ARS]"))</f>
        <v>387600</v>
      </c>
      <c r="T26" s="80">
        <f ca="1">SUMIF(INDIRECT(S$5&amp;"[SUBCATEGORÍA]"),$B26,INDIRECT(S$5&amp;"[USD]"))</f>
        <v>285</v>
      </c>
      <c r="U26" s="79">
        <f ca="1">SUMIF(INDIRECT(U$5&amp;"[SUBCATEGORÍA]"),$B26,INDIRECT(U$5&amp;"[ARS]"))</f>
        <v>387600</v>
      </c>
      <c r="V26" s="80">
        <f ca="1">SUMIF(INDIRECT(U$5&amp;"[SUBCATEGORÍA]"),$B26,INDIRECT(U$5&amp;"[USD]"))</f>
        <v>285</v>
      </c>
      <c r="W26" s="79">
        <f ca="1">SUMIF(INDIRECT(W$5&amp;"[SUBCATEGORÍA]"),$B26,INDIRECT(W$5&amp;"[ARS]"))</f>
        <v>387600</v>
      </c>
      <c r="X26" s="80">
        <f ca="1">SUMIF(INDIRECT(W$5&amp;"[SUBCATEGORÍA]"),$B26,INDIRECT(W$5&amp;"[USD]"))</f>
        <v>0</v>
      </c>
      <c r="Y26" s="79">
        <f ca="1">SUMIF(INDIRECT(Y$5&amp;"[SUBCATEGORÍA]"),$B26,INDIRECT(Y$5&amp;"[ARS]"))</f>
        <v>387600</v>
      </c>
      <c r="Z26" s="80">
        <f ca="1">SUMIF(INDIRECT(Y$5&amp;"[SUBCATEGORÍA]"),$B26,INDIRECT(Y$5&amp;"[USD]"))</f>
        <v>311.32530120481925</v>
      </c>
      <c r="AB26" s="50">
        <f t="shared" ref="AB26:AB27" ca="1" si="36">SUM(C26,E26,G26,I26,K26,M26,O26,Q26,S26,U26,W26,Y26)</f>
        <v>2519400</v>
      </c>
      <c r="AC26" s="50">
        <f t="shared" ref="AC26:AC27" ca="1" si="37">SUM(D26,F26,H26,L26,N26,P26,R26,T26,V26,X26,Z26)</f>
        <v>1632.4880919024936</v>
      </c>
      <c r="AD26" s="39">
        <f t="shared" ca="1" si="1"/>
        <v>9.2160645875150826E-2</v>
      </c>
    </row>
    <row r="27" spans="2:30" ht="19" thickBot="1" x14ac:dyDescent="0.4">
      <c r="B27" s="82" t="s">
        <v>43</v>
      </c>
      <c r="C27" s="91">
        <f ca="1">SUMIF(INDIRECT(C$5&amp;"[SUBCATEGORÍA]"),$B27,INDIRECT(C$5&amp;"[ARS]"))</f>
        <v>0</v>
      </c>
      <c r="D27" s="87">
        <f t="shared" ca="1" si="29"/>
        <v>0</v>
      </c>
      <c r="E27" s="86">
        <f t="shared" ca="1" si="30"/>
        <v>0</v>
      </c>
      <c r="F27" s="87">
        <f t="shared" ca="1" si="31"/>
        <v>0</v>
      </c>
      <c r="G27" s="86">
        <f t="shared" ca="1" si="32"/>
        <v>0</v>
      </c>
      <c r="H27" s="87">
        <f t="shared" ca="1" si="33"/>
        <v>0</v>
      </c>
      <c r="I27" s="86">
        <f t="shared" ca="1" si="34"/>
        <v>0</v>
      </c>
      <c r="J27" s="87">
        <f t="shared" ca="1" si="35"/>
        <v>0</v>
      </c>
      <c r="K27" s="91">
        <f ca="1">SUMIF(INDIRECT(K$5&amp;"[SUBCATEGORÍA]"),$B27,INDIRECT(K$5&amp;"[ARS]"))</f>
        <v>0</v>
      </c>
      <c r="L27" s="92">
        <f ca="1">SUMIF(INDIRECT(K$5&amp;"[SUBCATEGORÍA]"),$B27,INDIRECT(K$5&amp;"[USD]"))</f>
        <v>0</v>
      </c>
      <c r="M27" s="91">
        <f ca="1">SUMIF(INDIRECT(M$5&amp;"[SUBCATEGORÍA]"),$B27,INDIRECT(M$5&amp;"[ARS]"))</f>
        <v>0</v>
      </c>
      <c r="N27" s="92">
        <f ca="1">SUMIF(INDIRECT(M$5&amp;"[SUBCATEGORÍA]"),$B27,INDIRECT(M$5&amp;"[USD]"))</f>
        <v>0</v>
      </c>
      <c r="O27" s="91">
        <f ca="1">SUMIF(INDIRECT(O$5&amp;"[SUBCATEGORÍA]"),$B27,INDIRECT(O$5&amp;"[ARS]"))</f>
        <v>0</v>
      </c>
      <c r="P27" s="92">
        <f ca="1">SUMIF(INDIRECT(O$5&amp;"[SUBCATEGORÍA]"),$B27,INDIRECT(O$5&amp;"[USD]"))</f>
        <v>0</v>
      </c>
      <c r="Q27" s="91">
        <f ca="1">SUMIF(INDIRECT(Q$5&amp;"[SUBCATEGORÍA]"),$B27,INDIRECT(Q$5&amp;"[ARS]"))</f>
        <v>0</v>
      </c>
      <c r="R27" s="92">
        <f ca="1">SUMIF(INDIRECT(Q$5&amp;"[SUBCATEGORÍA]"),$B27,INDIRECT(Q$5&amp;"[USD]"))</f>
        <v>0</v>
      </c>
      <c r="S27" s="91">
        <f ca="1">SUMIF(INDIRECT(S$5&amp;"[SUBCATEGORÍA]"),$B27,INDIRECT(S$5&amp;"[ARS]"))</f>
        <v>0</v>
      </c>
      <c r="T27" s="92">
        <f ca="1">SUMIF(INDIRECT(S$5&amp;"[SUBCATEGORÍA]"),$B27,INDIRECT(S$5&amp;"[USD]"))</f>
        <v>0</v>
      </c>
      <c r="U27" s="91">
        <f ca="1">SUMIF(INDIRECT(U$5&amp;"[SUBCATEGORÍA]"),$B27,INDIRECT(U$5&amp;"[ARS]"))</f>
        <v>0</v>
      </c>
      <c r="V27" s="92">
        <f ca="1">SUMIF(INDIRECT(U$5&amp;"[SUBCATEGORÍA]"),$B27,INDIRECT(U$5&amp;"[USD]"))</f>
        <v>0</v>
      </c>
      <c r="W27" s="91">
        <f ca="1">SUMIF(INDIRECT(W$5&amp;"[SUBCATEGORÍA]"),$B27,INDIRECT(W$5&amp;"[ARS]"))</f>
        <v>0</v>
      </c>
      <c r="X27" s="92">
        <f ca="1">SUMIF(INDIRECT(W$5&amp;"[SUBCATEGORÍA]"),$B27,INDIRECT(W$5&amp;"[USD]"))</f>
        <v>0</v>
      </c>
      <c r="Y27" s="91">
        <f ca="1">SUMIF(INDIRECT(Y$5&amp;"[SUBCATEGORÍA]"),$B27,INDIRECT(Y$5&amp;"[ARS]"))</f>
        <v>0</v>
      </c>
      <c r="Z27" s="92">
        <f ca="1">SUMIF(INDIRECT(Y$5&amp;"[SUBCATEGORÍA]"),$B27,INDIRECT(Y$5&amp;"[USD]"))</f>
        <v>0</v>
      </c>
      <c r="AB27" s="50">
        <f t="shared" ca="1" si="36"/>
        <v>0</v>
      </c>
      <c r="AC27" s="50">
        <f t="shared" ca="1" si="37"/>
        <v>0</v>
      </c>
      <c r="AD27" s="39">
        <f t="shared" ca="1" si="1"/>
        <v>0</v>
      </c>
    </row>
    <row r="28" spans="2:30" ht="18.5" x14ac:dyDescent="0.45">
      <c r="B28" s="81" t="s">
        <v>52</v>
      </c>
      <c r="C28" s="88">
        <f t="shared" ref="C28:Z28" ca="1" si="38">SUM(C29:C32)</f>
        <v>838000</v>
      </c>
      <c r="D28" s="89">
        <f t="shared" ca="1" si="38"/>
        <v>700.99588505826614</v>
      </c>
      <c r="E28" s="90">
        <f t="shared" ca="1" si="38"/>
        <v>40000</v>
      </c>
      <c r="F28" s="89">
        <f t="shared" ca="1" si="38"/>
        <v>33.057851239669418</v>
      </c>
      <c r="G28" s="90">
        <f t="shared" ca="1" si="38"/>
        <v>0</v>
      </c>
      <c r="H28" s="89">
        <f t="shared" ca="1" si="38"/>
        <v>0</v>
      </c>
      <c r="I28" s="90">
        <f ca="1">SUM(I29:I32)</f>
        <v>0</v>
      </c>
      <c r="J28" s="89">
        <f t="shared" ca="1" si="38"/>
        <v>0</v>
      </c>
      <c r="K28" s="90">
        <f t="shared" ca="1" si="38"/>
        <v>0</v>
      </c>
      <c r="L28" s="89">
        <f t="shared" ca="1" si="38"/>
        <v>0</v>
      </c>
      <c r="M28" s="90">
        <f t="shared" ca="1" si="38"/>
        <v>0</v>
      </c>
      <c r="N28" s="89">
        <f t="shared" ca="1" si="38"/>
        <v>0</v>
      </c>
      <c r="O28" s="90">
        <f t="shared" ca="1" si="38"/>
        <v>950000</v>
      </c>
      <c r="P28" s="89">
        <f t="shared" ca="1" si="38"/>
        <v>781.89300411522629</v>
      </c>
      <c r="Q28" s="90">
        <f t="shared" ca="1" si="38"/>
        <v>0</v>
      </c>
      <c r="R28" s="89">
        <f t="shared" ca="1" si="38"/>
        <v>0</v>
      </c>
      <c r="S28" s="90">
        <f t="shared" ca="1" si="38"/>
        <v>4750000</v>
      </c>
      <c r="T28" s="89">
        <f t="shared" ca="1" si="38"/>
        <v>3625.9541984732823</v>
      </c>
      <c r="U28" s="90">
        <f t="shared" ca="1" si="38"/>
        <v>0</v>
      </c>
      <c r="V28" s="89">
        <f t="shared" ca="1" si="38"/>
        <v>0</v>
      </c>
      <c r="W28" s="90">
        <f t="shared" ca="1" si="38"/>
        <v>0</v>
      </c>
      <c r="X28" s="89">
        <f t="shared" ca="1" si="38"/>
        <v>0</v>
      </c>
      <c r="Y28" s="90">
        <f t="shared" ca="1" si="38"/>
        <v>0</v>
      </c>
      <c r="Z28" s="89">
        <f t="shared" ca="1" si="38"/>
        <v>0</v>
      </c>
      <c r="AA28" s="48"/>
      <c r="AB28" s="49">
        <f ca="1">SUM(C28,E28,G28,I28,K28,M28,O28,Q28,S28,U28,W28,Y28)</f>
        <v>6578000</v>
      </c>
      <c r="AC28" s="49">
        <f ca="1">SUM(D28,F28,H28,L28,N28,P28,R28,T28,V28,X28,Z28)</f>
        <v>5141.9009388864442</v>
      </c>
      <c r="AD28" s="38">
        <f t="shared" ca="1" si="1"/>
        <v>0.2406258349475042</v>
      </c>
    </row>
    <row r="29" spans="2:30" ht="19" thickBot="1" x14ac:dyDescent="0.4">
      <c r="B29" s="82" t="s">
        <v>74</v>
      </c>
      <c r="C29" s="79">
        <f ca="1">SUMIF(INDIRECT(C$5&amp;"[SUBCATEGORÍA]"),$B29,INDIRECT(C$5&amp;"[ARS]"))</f>
        <v>750000</v>
      </c>
      <c r="D29" s="87">
        <f ca="1">SUMIF(INDIRECT(C$5&amp;"[SUBCATEGORÍA]"),$B29,INDIRECT(C$5&amp;"[USD]"))</f>
        <v>627.61506276150624</v>
      </c>
      <c r="E29" s="86">
        <f ca="1">SUMIF(INDIRECT(E$5&amp;"[SUBCATEGORÍA]"),$B29,INDIRECT(E$5&amp;"[ARS]"))</f>
        <v>0</v>
      </c>
      <c r="F29" s="87">
        <f ca="1">SUMIF(INDIRECT(E$5&amp;"[SUBCATEGORÍA]"),$B29,INDIRECT(E$5&amp;"[USD]"))</f>
        <v>0</v>
      </c>
      <c r="G29" s="86">
        <f ca="1">SUMIF(INDIRECT(G$5&amp;"[SUBCATEGORÍA]"),$B29,INDIRECT(G$5&amp;"[ARS]"))</f>
        <v>0</v>
      </c>
      <c r="H29" s="87">
        <f ca="1">SUMIF(INDIRECT(G$5&amp;"[SUBCATEGORÍA]"),$B29,INDIRECT(G$5&amp;"[USD]"))</f>
        <v>0</v>
      </c>
      <c r="I29" s="79">
        <f ca="1">SUMIF(INDIRECT(I$5&amp;"[SUBCATEGORÍA]"),$B29,INDIRECT(I$5&amp;"[ARS]"))</f>
        <v>0</v>
      </c>
      <c r="J29" s="80">
        <f ca="1">SUMIF(INDIRECT(I$5&amp;"[SUBCATEGORÍA]"),$B29,INDIRECT(I$5&amp;"[USD]"))</f>
        <v>0</v>
      </c>
      <c r="K29" s="79">
        <f ca="1">SUMIF(INDIRECT(K$5&amp;"[SUBCATEGORÍA]"),$B29,INDIRECT(K$5&amp;"[ARS]"))</f>
        <v>0</v>
      </c>
      <c r="L29" s="80">
        <f ca="1">SUMIF(INDIRECT(K$5&amp;"[SUBCATEGORÍA]"),$B29,INDIRECT(K$5&amp;"[USD]"))</f>
        <v>0</v>
      </c>
      <c r="M29" s="79">
        <f ca="1">SUMIF(INDIRECT(M$5&amp;"[SUBCATEGORÍA]"),$B29,INDIRECT(M$5&amp;"[ARS]"))</f>
        <v>0</v>
      </c>
      <c r="N29" s="80">
        <f ca="1">SUMIF(INDIRECT(M$5&amp;"[SUBCATEGORÍA]"),$B29,INDIRECT(M$5&amp;"[USD]"))</f>
        <v>0</v>
      </c>
      <c r="O29" s="79">
        <f ca="1">SUMIF(INDIRECT(O$5&amp;"[SUBCATEGORÍA]"),$B29,INDIRECT(O$5&amp;"[ARS]"))</f>
        <v>950000</v>
      </c>
      <c r="P29" s="80">
        <f ca="1">SUMIF(INDIRECT(O$5&amp;"[SUBCATEGORÍA]"),$B29,INDIRECT(O$5&amp;"[USD]"))</f>
        <v>781.89300411522629</v>
      </c>
      <c r="Q29" s="79">
        <f ca="1">SUMIF(INDIRECT(Q$5&amp;"[SUBCATEGORÍA]"),$B29,INDIRECT(Q$5&amp;"[ARS]"))</f>
        <v>0</v>
      </c>
      <c r="R29" s="80">
        <f ca="1">SUMIF(INDIRECT(Q$5&amp;"[SUBCATEGORÍA]"),$B29,INDIRECT(Q$5&amp;"[USD]"))</f>
        <v>0</v>
      </c>
      <c r="S29" s="79">
        <f ca="1">SUMIF(INDIRECT(S$5&amp;"[SUBCATEGORÍA]"),$B29,INDIRECT(S$5&amp;"[ARS]"))</f>
        <v>4750000</v>
      </c>
      <c r="T29" s="80">
        <f ca="1">SUMIF(INDIRECT(S$5&amp;"[SUBCATEGORÍA]"),$B29,INDIRECT(S$5&amp;"[USD]"))</f>
        <v>3625.9541984732823</v>
      </c>
      <c r="U29" s="79">
        <f ca="1">SUMIF(INDIRECT(U$5&amp;"[SUBCATEGORÍA]"),$B29,INDIRECT(U$5&amp;"[ARS]"))</f>
        <v>0</v>
      </c>
      <c r="V29" s="80">
        <f ca="1">SUMIF(INDIRECT(U$5&amp;"[SUBCATEGORÍA]"),$B29,INDIRECT(U$5&amp;"[USD]"))</f>
        <v>0</v>
      </c>
      <c r="W29" s="79">
        <f ca="1">SUMIF(INDIRECT(W$5&amp;"[SUBCATEGORÍA]"),$B29,INDIRECT(W$5&amp;"[ARS]"))</f>
        <v>0</v>
      </c>
      <c r="X29" s="80">
        <f ca="1">SUMIF(INDIRECT(W$5&amp;"[SUBCATEGORÍA]"),$B29,INDIRECT(W$5&amp;"[USD]"))</f>
        <v>0</v>
      </c>
      <c r="Y29" s="79">
        <f ca="1">SUMIF(INDIRECT(Y$5&amp;"[SUBCATEGORÍA]"),$B29,INDIRECT(Y$5&amp;"[ARS]"))</f>
        <v>0</v>
      </c>
      <c r="Z29" s="80">
        <f ca="1">SUMIF(INDIRECT(Y$5&amp;"[SUBCATEGORÍA]"),$B29,INDIRECT(Y$5&amp;"[USD]"))</f>
        <v>0</v>
      </c>
      <c r="AB29" s="50">
        <f t="shared" ref="AB29:AB31" ca="1" si="39">SUM(C29,E29,G29,I29,K29,M29,O29,Q29,S29,U29,W29,Y29)</f>
        <v>6450000</v>
      </c>
      <c r="AC29" s="50">
        <f t="shared" ref="AC29:AC32" ca="1" si="40">SUM(D29,F29,H29,L29,N29,P29,R29,T29,V29,X29,Z29)</f>
        <v>5035.4622653500146</v>
      </c>
      <c r="AD29" s="39">
        <f t="shared" ca="1" si="1"/>
        <v>0.23594354445293433</v>
      </c>
    </row>
    <row r="30" spans="2:30" ht="19" thickBot="1" x14ac:dyDescent="0.4">
      <c r="B30" s="82" t="s">
        <v>68</v>
      </c>
      <c r="C30" s="79">
        <f ca="1">SUMIF(INDIRECT(C$5&amp;"[SUBCATEGORÍA]"),$B30,INDIRECT(C$5&amp;"[ARS]"))</f>
        <v>41000</v>
      </c>
      <c r="D30" s="87">
        <f ca="1">SUMIF(INDIRECT(C$5&amp;"[SUBCATEGORÍA]"),$B30,INDIRECT(C$5&amp;"[USD]"))</f>
        <v>34.050278363705523</v>
      </c>
      <c r="E30" s="86">
        <f ca="1">SUMIF(INDIRECT(E$5&amp;"[SUBCATEGORÍA]"),$B30,INDIRECT(E$5&amp;"[ARS]"))</f>
        <v>40000</v>
      </c>
      <c r="F30" s="87">
        <f ca="1">SUMIF(INDIRECT(E$5&amp;"[SUBCATEGORÍA]"),$B30,INDIRECT(E$5&amp;"[USD]"))</f>
        <v>33.057851239669418</v>
      </c>
      <c r="G30" s="86">
        <f ca="1">SUMIF(INDIRECT(G$5&amp;"[SUBCATEGORÍA]"),$B30,INDIRECT(G$5&amp;"[ARS]"))</f>
        <v>0</v>
      </c>
      <c r="H30" s="87">
        <f ca="1">SUMIF(INDIRECT(G$5&amp;"[SUBCATEGORÍA]"),$B30,INDIRECT(G$5&amp;"[USD]"))</f>
        <v>0</v>
      </c>
      <c r="I30" s="79">
        <f t="shared" ref="I30:I32" ca="1" si="41">SUMIF(INDIRECT(I$5&amp;"[SUBCATEGORÍA]"),$B30,INDIRECT(I$5&amp;"[ARS]"))</f>
        <v>0</v>
      </c>
      <c r="J30" s="80">
        <f t="shared" ref="J30:J32" ca="1" si="42">SUMIF(INDIRECT(I$5&amp;"[SUBCATEGORÍA]"),$B30,INDIRECT(I$5&amp;"[USD]"))</f>
        <v>0</v>
      </c>
      <c r="K30" s="79">
        <f ca="1">SUMIF(INDIRECT(K$5&amp;"[SUBCATEGORÍA]"),$B30,INDIRECT(K$5&amp;"[ARS]"))</f>
        <v>0</v>
      </c>
      <c r="L30" s="80">
        <f ca="1">SUMIF(INDIRECT(K$5&amp;"[SUBCATEGORÍA]"),$B30,INDIRECT(K$5&amp;"[USD]"))</f>
        <v>0</v>
      </c>
      <c r="M30" s="79">
        <f ca="1">SUMIF(INDIRECT(M$5&amp;"[SUBCATEGORÍA]"),$B30,INDIRECT(M$5&amp;"[ARS]"))</f>
        <v>0</v>
      </c>
      <c r="N30" s="80">
        <f ca="1">SUMIF(INDIRECT(M$5&amp;"[SUBCATEGORÍA]"),$B30,INDIRECT(M$5&amp;"[USD]"))</f>
        <v>0</v>
      </c>
      <c r="O30" s="79">
        <f ca="1">SUMIF(INDIRECT(O$5&amp;"[SUBCATEGORÍA]"),$B30,INDIRECT(O$5&amp;"[ARS]"))</f>
        <v>0</v>
      </c>
      <c r="P30" s="80">
        <f ca="1">SUMIF(INDIRECT(O$5&amp;"[SUBCATEGORÍA]"),$B30,INDIRECT(O$5&amp;"[USD]"))</f>
        <v>0</v>
      </c>
      <c r="Q30" s="79">
        <f ca="1">SUMIF(INDIRECT(Q$5&amp;"[SUBCATEGORÍA]"),$B30,INDIRECT(Q$5&amp;"[ARS]"))</f>
        <v>0</v>
      </c>
      <c r="R30" s="80">
        <f ca="1">SUMIF(INDIRECT(Q$5&amp;"[SUBCATEGORÍA]"),$B30,INDIRECT(Q$5&amp;"[USD]"))</f>
        <v>0</v>
      </c>
      <c r="S30" s="79">
        <f ca="1">SUMIF(INDIRECT(S$5&amp;"[SUBCATEGORÍA]"),$B30,INDIRECT(S$5&amp;"[ARS]"))</f>
        <v>0</v>
      </c>
      <c r="T30" s="80">
        <f ca="1">SUMIF(INDIRECT(S$5&amp;"[SUBCATEGORÍA]"),$B30,INDIRECT(S$5&amp;"[USD]"))</f>
        <v>0</v>
      </c>
      <c r="U30" s="79">
        <f ca="1">SUMIF(INDIRECT(U$5&amp;"[SUBCATEGORÍA]"),$B30,INDIRECT(U$5&amp;"[ARS]"))</f>
        <v>0</v>
      </c>
      <c r="V30" s="80">
        <f ca="1">SUMIF(INDIRECT(U$5&amp;"[SUBCATEGORÍA]"),$B30,INDIRECT(U$5&amp;"[USD]"))</f>
        <v>0</v>
      </c>
      <c r="W30" s="79">
        <f ca="1">SUMIF(INDIRECT(W$5&amp;"[SUBCATEGORÍA]"),$B30,INDIRECT(W$5&amp;"[ARS]"))</f>
        <v>0</v>
      </c>
      <c r="X30" s="80">
        <f ca="1">SUMIF(INDIRECT(W$5&amp;"[SUBCATEGORÍA]"),$B30,INDIRECT(W$5&amp;"[USD]"))</f>
        <v>0</v>
      </c>
      <c r="Y30" s="79">
        <f ca="1">SUMIF(INDIRECT(Y$5&amp;"[SUBCATEGORÍA]"),$B30,INDIRECT(Y$5&amp;"[ARS]"))</f>
        <v>0</v>
      </c>
      <c r="Z30" s="80">
        <f ca="1">SUMIF(INDIRECT(Y$5&amp;"[SUBCATEGORÍA]"),$B30,INDIRECT(Y$5&amp;"[USD]"))</f>
        <v>0</v>
      </c>
      <c r="AB30" s="50">
        <f ca="1">SUM(C30,E30,G30,I30,K30,M30,O30,Q30,S30,U30,W30,Y30)</f>
        <v>81000</v>
      </c>
      <c r="AC30" s="50">
        <f t="shared" ca="1" si="40"/>
        <v>67.108129603374948</v>
      </c>
      <c r="AD30" s="39"/>
    </row>
    <row r="31" spans="2:30" ht="19" thickBot="1" x14ac:dyDescent="0.4">
      <c r="B31" s="82" t="s">
        <v>69</v>
      </c>
      <c r="C31" s="79">
        <f ca="1">SUMIF(INDIRECT(C$5&amp;"[SUBCATEGORÍA]"),$B31,INDIRECT(C$5&amp;"[ARS]"))</f>
        <v>47000</v>
      </c>
      <c r="D31" s="87">
        <f ca="1">SUMIF(INDIRECT(C$5&amp;"[SUBCATEGORÍA]"),$B31,INDIRECT(C$5&amp;"[USD]"))</f>
        <v>39.330543933054393</v>
      </c>
      <c r="E31" s="86">
        <f ca="1">SUMIF(INDIRECT(E$5&amp;"[SUBCATEGORÍA]"),$B31,INDIRECT(E$5&amp;"[ARS]"))</f>
        <v>0</v>
      </c>
      <c r="F31" s="87">
        <f ca="1">SUMIF(INDIRECT(E$5&amp;"[SUBCATEGORÍA]"),$B31,INDIRECT(E$5&amp;"[USD]"))</f>
        <v>0</v>
      </c>
      <c r="G31" s="86">
        <f ca="1">SUMIF(INDIRECT(G$5&amp;"[SUBCATEGORÍA]"),$B31,INDIRECT(G$5&amp;"[ARS]"))</f>
        <v>0</v>
      </c>
      <c r="H31" s="87">
        <f ca="1">SUMIF(INDIRECT(G$5&amp;"[SUBCATEGORÍA]"),$B31,INDIRECT(G$5&amp;"[USD]"))</f>
        <v>0</v>
      </c>
      <c r="I31" s="79">
        <f t="shared" ca="1" si="41"/>
        <v>0</v>
      </c>
      <c r="J31" s="80">
        <f t="shared" ca="1" si="42"/>
        <v>0</v>
      </c>
      <c r="K31" s="79">
        <f ca="1">SUMIF(INDIRECT(K$5&amp;"[SUBCATEGORÍA]"),$B31,INDIRECT(K$5&amp;"[ARS]"))</f>
        <v>0</v>
      </c>
      <c r="L31" s="80">
        <f ca="1">SUMIF(INDIRECT(K$5&amp;"[SUBCATEGORÍA]"),$B31,INDIRECT(K$5&amp;"[USD]"))</f>
        <v>0</v>
      </c>
      <c r="M31" s="79">
        <f ca="1">SUMIF(INDIRECT(M$5&amp;"[SUBCATEGORÍA]"),$B31,INDIRECT(M$5&amp;"[ARS]"))</f>
        <v>0</v>
      </c>
      <c r="N31" s="80">
        <f ca="1">SUMIF(INDIRECT(M$5&amp;"[SUBCATEGORÍA]"),$B31,INDIRECT(M$5&amp;"[USD]"))</f>
        <v>0</v>
      </c>
      <c r="O31" s="79">
        <f ca="1">SUMIF(INDIRECT(O$5&amp;"[SUBCATEGORÍA]"),$B31,INDIRECT(O$5&amp;"[ARS]"))</f>
        <v>0</v>
      </c>
      <c r="P31" s="80">
        <f ca="1">SUMIF(INDIRECT(O$5&amp;"[SUBCATEGORÍA]"),$B31,INDIRECT(O$5&amp;"[USD]"))</f>
        <v>0</v>
      </c>
      <c r="Q31" s="79">
        <f ca="1">SUMIF(INDIRECT(Q$5&amp;"[SUBCATEGORÍA]"),$B31,INDIRECT(Q$5&amp;"[ARS]"))</f>
        <v>0</v>
      </c>
      <c r="R31" s="80">
        <f ca="1">SUMIF(INDIRECT(Q$5&amp;"[SUBCATEGORÍA]"),$B31,INDIRECT(Q$5&amp;"[USD]"))</f>
        <v>0</v>
      </c>
      <c r="S31" s="79">
        <f ca="1">SUMIF(INDIRECT(S$5&amp;"[SUBCATEGORÍA]"),$B31,INDIRECT(S$5&amp;"[ARS]"))</f>
        <v>0</v>
      </c>
      <c r="T31" s="80">
        <f ca="1">SUMIF(INDIRECT(S$5&amp;"[SUBCATEGORÍA]"),$B31,INDIRECT(S$5&amp;"[USD]"))</f>
        <v>0</v>
      </c>
      <c r="U31" s="79">
        <f ca="1">SUMIF(INDIRECT(U$5&amp;"[SUBCATEGORÍA]"),$B31,INDIRECT(U$5&amp;"[ARS]"))</f>
        <v>0</v>
      </c>
      <c r="V31" s="80">
        <f ca="1">SUMIF(INDIRECT(U$5&amp;"[SUBCATEGORÍA]"),$B31,INDIRECT(U$5&amp;"[USD]"))</f>
        <v>0</v>
      </c>
      <c r="W31" s="79">
        <f ca="1">SUMIF(INDIRECT(W$5&amp;"[SUBCATEGORÍA]"),$B31,INDIRECT(W$5&amp;"[ARS]"))</f>
        <v>0</v>
      </c>
      <c r="X31" s="80">
        <f ca="1">SUMIF(INDIRECT(W$5&amp;"[SUBCATEGORÍA]"),$B31,INDIRECT(W$5&amp;"[USD]"))</f>
        <v>0</v>
      </c>
      <c r="Y31" s="79">
        <f ca="1">SUMIF(INDIRECT(Y$5&amp;"[SUBCATEGORÍA]"),$B31,INDIRECT(Y$5&amp;"[ARS]"))</f>
        <v>0</v>
      </c>
      <c r="Z31" s="80">
        <f ca="1">SUMIF(INDIRECT(Y$5&amp;"[SUBCATEGORÍA]"),$B31,INDIRECT(Y$5&amp;"[USD]"))</f>
        <v>0</v>
      </c>
      <c r="AB31" s="50">
        <f t="shared" ca="1" si="39"/>
        <v>47000</v>
      </c>
      <c r="AC31" s="50">
        <f t="shared" ca="1" si="40"/>
        <v>39.330543933054393</v>
      </c>
      <c r="AD31" s="39">
        <f t="shared" ref="AD31:AD61" ca="1" si="43">IFERROR(AB31/$AB$63,"")</f>
        <v>1.7192785409748705E-3</v>
      </c>
    </row>
    <row r="32" spans="2:30" ht="19" thickBot="1" x14ac:dyDescent="0.4">
      <c r="B32" s="82" t="s">
        <v>31</v>
      </c>
      <c r="C32" s="79">
        <f ca="1">SUMIF(INDIRECT(C$5&amp;"[SUBCATEGORÍA]"),$B32,INDIRECT(C$5&amp;"[ARS]"))</f>
        <v>0</v>
      </c>
      <c r="D32" s="87">
        <f ca="1">SUMIF(INDIRECT(C$5&amp;"[SUBCATEGORÍA]"),$B32,INDIRECT(C$5&amp;"[USD]"))</f>
        <v>0</v>
      </c>
      <c r="E32" s="86">
        <f ca="1">SUMIF(INDIRECT(E$5&amp;"[SUBCATEGORÍA]"),$B32,INDIRECT(E$5&amp;"[ARS]"))</f>
        <v>0</v>
      </c>
      <c r="F32" s="87">
        <f ca="1">SUMIF(INDIRECT(E$5&amp;"[SUBCATEGORÍA]"),$B32,INDIRECT(E$5&amp;"[USD]"))</f>
        <v>0</v>
      </c>
      <c r="G32" s="86">
        <f ca="1">SUMIF(INDIRECT(G$5&amp;"[SUBCATEGORÍA]"),$B32,INDIRECT(G$5&amp;"[ARS]"))</f>
        <v>0</v>
      </c>
      <c r="H32" s="87">
        <f ca="1">SUMIF(INDIRECT(G$5&amp;"[SUBCATEGORÍA]"),$B32,INDIRECT(G$5&amp;"[USD]"))</f>
        <v>0</v>
      </c>
      <c r="I32" s="79">
        <f t="shared" ca="1" si="41"/>
        <v>0</v>
      </c>
      <c r="J32" s="80">
        <f t="shared" ca="1" si="42"/>
        <v>0</v>
      </c>
      <c r="K32" s="91">
        <f ca="1">SUMIF(INDIRECT(K$5&amp;"[SUBCATEGORÍA]"),$B32,INDIRECT(K$5&amp;"[ARS]"))</f>
        <v>0</v>
      </c>
      <c r="L32" s="92">
        <f ca="1">SUMIF(INDIRECT(K$5&amp;"[SUBCATEGORÍA]"),$B32,INDIRECT(K$5&amp;"[USD]"))</f>
        <v>0</v>
      </c>
      <c r="M32" s="91">
        <f ca="1">SUMIF(INDIRECT(M$5&amp;"[SUBCATEGORÍA]"),$B32,INDIRECT(M$5&amp;"[ARS]"))</f>
        <v>0</v>
      </c>
      <c r="N32" s="92">
        <f ca="1">SUMIF(INDIRECT(M$5&amp;"[SUBCATEGORÍA]"),$B32,INDIRECT(M$5&amp;"[USD]"))</f>
        <v>0</v>
      </c>
      <c r="O32" s="91">
        <f ca="1">SUMIF(INDIRECT(O$5&amp;"[SUBCATEGORÍA]"),$B32,INDIRECT(O$5&amp;"[ARS]"))</f>
        <v>0</v>
      </c>
      <c r="P32" s="92">
        <f ca="1">SUMIF(INDIRECT(O$5&amp;"[SUBCATEGORÍA]"),$B32,INDIRECT(O$5&amp;"[USD]"))</f>
        <v>0</v>
      </c>
      <c r="Q32" s="91">
        <f ca="1">SUMIF(INDIRECT(Q$5&amp;"[SUBCATEGORÍA]"),$B32,INDIRECT(Q$5&amp;"[ARS]"))</f>
        <v>0</v>
      </c>
      <c r="R32" s="92">
        <f ca="1">SUMIF(INDIRECT(Q$5&amp;"[SUBCATEGORÍA]"),$B32,INDIRECT(Q$5&amp;"[USD]"))</f>
        <v>0</v>
      </c>
      <c r="S32" s="91">
        <f ca="1">SUMIF(INDIRECT(S$5&amp;"[SUBCATEGORÍA]"),$B32,INDIRECT(S$5&amp;"[ARS]"))</f>
        <v>0</v>
      </c>
      <c r="T32" s="92">
        <f ca="1">SUMIF(INDIRECT(S$5&amp;"[SUBCATEGORÍA]"),$B32,INDIRECT(S$5&amp;"[USD]"))</f>
        <v>0</v>
      </c>
      <c r="U32" s="91">
        <f ca="1">SUMIF(INDIRECT(U$5&amp;"[SUBCATEGORÍA]"),$B32,INDIRECT(U$5&amp;"[ARS]"))</f>
        <v>0</v>
      </c>
      <c r="V32" s="92">
        <f ca="1">SUMIF(INDIRECT(U$5&amp;"[SUBCATEGORÍA]"),$B32,INDIRECT(U$5&amp;"[USD]"))</f>
        <v>0</v>
      </c>
      <c r="W32" s="91">
        <f ca="1">SUMIF(INDIRECT(W$5&amp;"[SUBCATEGORÍA]"),$B32,INDIRECT(W$5&amp;"[ARS]"))</f>
        <v>0</v>
      </c>
      <c r="X32" s="92">
        <f ca="1">SUMIF(INDIRECT(W$5&amp;"[SUBCATEGORÍA]"),$B32,INDIRECT(W$5&amp;"[USD]"))</f>
        <v>0</v>
      </c>
      <c r="Y32" s="91">
        <f ca="1">SUMIF(INDIRECT(Y$5&amp;"[SUBCATEGORÍA]"),$B32,INDIRECT(Y$5&amp;"[ARS]"))</f>
        <v>0</v>
      </c>
      <c r="Z32" s="92">
        <f ca="1">SUMIF(INDIRECT(Y$5&amp;"[SUBCATEGORÍA]"),$B32,INDIRECT(Y$5&amp;"[USD]"))</f>
        <v>0</v>
      </c>
      <c r="AB32" s="50">
        <f ca="1">SUM(C32,E32,G32,I32,K32,M32,O32,Q32,S32,U32,W32,Y32)</f>
        <v>0</v>
      </c>
      <c r="AC32" s="50">
        <f t="shared" ca="1" si="40"/>
        <v>0</v>
      </c>
      <c r="AD32" s="39">
        <f t="shared" ca="1" si="43"/>
        <v>0</v>
      </c>
    </row>
    <row r="33" spans="2:30" ht="18.5" x14ac:dyDescent="0.45">
      <c r="B33" s="81" t="s">
        <v>53</v>
      </c>
      <c r="C33" s="88">
        <f t="shared" ref="C33:Z33" ca="1" si="44">SUM(C34:C36)</f>
        <v>6000</v>
      </c>
      <c r="D33" s="89">
        <f t="shared" ca="1" si="44"/>
        <v>4.9897990940212313</v>
      </c>
      <c r="E33" s="90">
        <f t="shared" ca="1" si="44"/>
        <v>6000</v>
      </c>
      <c r="F33" s="89">
        <f t="shared" ca="1" si="44"/>
        <v>5.0847457627118642</v>
      </c>
      <c r="G33" s="90">
        <f t="shared" ca="1" si="44"/>
        <v>0</v>
      </c>
      <c r="H33" s="89">
        <f t="shared" ca="1" si="44"/>
        <v>0</v>
      </c>
      <c r="I33" s="90">
        <f t="shared" ca="1" si="44"/>
        <v>0</v>
      </c>
      <c r="J33" s="89">
        <f t="shared" ca="1" si="44"/>
        <v>0</v>
      </c>
      <c r="K33" s="90">
        <f t="shared" ca="1" si="44"/>
        <v>0</v>
      </c>
      <c r="L33" s="89">
        <f t="shared" ca="1" si="44"/>
        <v>0</v>
      </c>
      <c r="M33" s="90">
        <f t="shared" ca="1" si="44"/>
        <v>0</v>
      </c>
      <c r="N33" s="89">
        <f t="shared" ca="1" si="44"/>
        <v>0</v>
      </c>
      <c r="O33" s="90">
        <f t="shared" ca="1" si="44"/>
        <v>0</v>
      </c>
      <c r="P33" s="89">
        <f t="shared" ca="1" si="44"/>
        <v>0</v>
      </c>
      <c r="Q33" s="90">
        <f t="shared" ca="1" si="44"/>
        <v>5000</v>
      </c>
      <c r="R33" s="89">
        <f t="shared" ca="1" si="44"/>
        <v>3.8759689922480618</v>
      </c>
      <c r="S33" s="90">
        <f t="shared" ca="1" si="44"/>
        <v>0</v>
      </c>
      <c r="T33" s="89">
        <f t="shared" ca="1" si="44"/>
        <v>0</v>
      </c>
      <c r="U33" s="90">
        <f t="shared" ca="1" si="44"/>
        <v>0</v>
      </c>
      <c r="V33" s="89">
        <f t="shared" ca="1" si="44"/>
        <v>0</v>
      </c>
      <c r="W33" s="90">
        <f t="shared" ca="1" si="44"/>
        <v>0</v>
      </c>
      <c r="X33" s="89">
        <f t="shared" ca="1" si="44"/>
        <v>0</v>
      </c>
      <c r="Y33" s="90">
        <f t="shared" ca="1" si="44"/>
        <v>0</v>
      </c>
      <c r="Z33" s="89">
        <f t="shared" ca="1" si="44"/>
        <v>0</v>
      </c>
      <c r="AA33" s="48"/>
      <c r="AB33" s="49">
        <f ca="1">SUM(C33,E33,G33,I33,K33,M33,O33,Q33,S33,U33,W33,Y33)</f>
        <v>17000</v>
      </c>
      <c r="AC33" s="49">
        <f ca="1">SUM(D33,F33,H33,L33,N33,P33,R33,T33,V33,X33,Z33)</f>
        <v>13.950513848981156</v>
      </c>
      <c r="AD33" s="38">
        <f t="shared" ca="1" si="43"/>
        <v>6.2186670631005948E-4</v>
      </c>
    </row>
    <row r="34" spans="2:30" ht="19" thickBot="1" x14ac:dyDescent="0.4">
      <c r="B34" s="82" t="s">
        <v>70</v>
      </c>
      <c r="C34" s="79">
        <f ca="1">SUMIF(INDIRECT(C$5&amp;"[SUBCATEGORÍA]"),$B34,INDIRECT(C$5&amp;"[ARS]"))</f>
        <v>6000</v>
      </c>
      <c r="D34" s="80">
        <f ca="1">SUMIF(INDIRECT(C$5&amp;"[SUBCATEGORÍA]"),$B34,INDIRECT(C$5&amp;"[USD]"))</f>
        <v>4.9897990940212313</v>
      </c>
      <c r="E34" s="79">
        <f ca="1">SUMIF(INDIRECT(E$5&amp;"[SUBCATEGORÍA]"),$B34,INDIRECT(E$5&amp;"[ARS]"))</f>
        <v>6000</v>
      </c>
      <c r="F34" s="80">
        <f ca="1">SUMIF(INDIRECT(E$5&amp;"[SUBCATEGORÍA]"),$B34,INDIRECT(E$5&amp;"[USD]"))</f>
        <v>5.0847457627118642</v>
      </c>
      <c r="G34" s="79">
        <f ca="1">SUMIF(INDIRECT(G$5&amp;"[SUBCATEGORÍA]"),$B34,INDIRECT(G$5&amp;"[ARS]"))</f>
        <v>0</v>
      </c>
      <c r="H34" s="80">
        <f ca="1">SUMIF(INDIRECT(G$5&amp;"[SUBCATEGORÍA]"),$B34,INDIRECT(G$5&amp;"[USD]"))</f>
        <v>0</v>
      </c>
      <c r="I34" s="79">
        <f ca="1">SUMIF(INDIRECT(I$5&amp;"[SUBCATEGORÍA]"),$B34,INDIRECT(I$5&amp;"[ARS]"))</f>
        <v>0</v>
      </c>
      <c r="J34" s="80">
        <f ca="1">SUMIF(INDIRECT(I$5&amp;"[SUBCATEGORÍA]"),$B34,INDIRECT(I$5&amp;"[USD]"))</f>
        <v>0</v>
      </c>
      <c r="K34" s="79">
        <f ca="1">SUMIF(INDIRECT(K$5&amp;"[SUBCATEGORÍA]"),$B34,INDIRECT(K$5&amp;"[ARS]"))</f>
        <v>0</v>
      </c>
      <c r="L34" s="80">
        <f ca="1">SUMIF(INDIRECT(K$5&amp;"[SUBCATEGORÍA]"),$B34,INDIRECT(K$5&amp;"[USD]"))</f>
        <v>0</v>
      </c>
      <c r="M34" s="79">
        <f ca="1">SUMIF(INDIRECT(M$5&amp;"[SUBCATEGORÍA]"),$B34,INDIRECT(M$5&amp;"[ARS]"))</f>
        <v>0</v>
      </c>
      <c r="N34" s="80">
        <f ca="1">SUMIF(INDIRECT(M$5&amp;"[SUBCATEGORÍA]"),$B34,INDIRECT(M$5&amp;"[USD]"))</f>
        <v>0</v>
      </c>
      <c r="O34" s="79">
        <f ca="1">SUMIF(INDIRECT(O$5&amp;"[SUBCATEGORÍA]"),$B34,INDIRECT(O$5&amp;"[ARS]"))</f>
        <v>0</v>
      </c>
      <c r="P34" s="80">
        <f ca="1">SUMIF(INDIRECT(O$5&amp;"[SUBCATEGORÍA]"),$B34,INDIRECT(O$5&amp;"[USD]"))</f>
        <v>0</v>
      </c>
      <c r="Q34" s="79">
        <f ca="1">SUMIF(INDIRECT(Q$5&amp;"[SUBCATEGORÍA]"),$B34,INDIRECT(Q$5&amp;"[ARS]"))</f>
        <v>0</v>
      </c>
      <c r="R34" s="80">
        <f ca="1">SUMIF(INDIRECT(Q$5&amp;"[SUBCATEGORÍA]"),$B34,INDIRECT(Q$5&amp;"[USD]"))</f>
        <v>0</v>
      </c>
      <c r="S34" s="79">
        <f ca="1">SUMIF(INDIRECT(S$5&amp;"[SUBCATEGORÍA]"),$B34,INDIRECT(S$5&amp;"[ARS]"))</f>
        <v>0</v>
      </c>
      <c r="T34" s="80">
        <f ca="1">SUMIF(INDIRECT(S$5&amp;"[SUBCATEGORÍA]"),$B34,INDIRECT(S$5&amp;"[USD]"))</f>
        <v>0</v>
      </c>
      <c r="U34" s="79">
        <f ca="1">SUMIF(INDIRECT(U$5&amp;"[SUBCATEGORÍA]"),$B34,INDIRECT(U$5&amp;"[ARS]"))</f>
        <v>0</v>
      </c>
      <c r="V34" s="80">
        <f ca="1">SUMIF(INDIRECT(U$5&amp;"[SUBCATEGORÍA]"),$B34,INDIRECT(U$5&amp;"[USD]"))</f>
        <v>0</v>
      </c>
      <c r="W34" s="79">
        <f ca="1">SUMIF(INDIRECT(W$5&amp;"[SUBCATEGORÍA]"),$B34,INDIRECT(W$5&amp;"[ARS]"))</f>
        <v>0</v>
      </c>
      <c r="X34" s="80">
        <f ca="1">SUMIF(INDIRECT(W$5&amp;"[SUBCATEGORÍA]"),$B34,INDIRECT(W$5&amp;"[USD]"))</f>
        <v>0</v>
      </c>
      <c r="Y34" s="79">
        <f ca="1">SUMIF(INDIRECT(Y$5&amp;"[SUBCATEGORÍA]"),$B34,INDIRECT(Y$5&amp;"[ARS]"))</f>
        <v>0</v>
      </c>
      <c r="Z34" s="80">
        <f ca="1">SUMIF(INDIRECT(Y$5&amp;"[SUBCATEGORÍA]"),$B34,INDIRECT(Y$5&amp;"[USD]"))</f>
        <v>0</v>
      </c>
      <c r="AB34" s="50">
        <f t="shared" ref="AB34:AB36" ca="1" si="45">SUM(C34,E34,G34,I34,K34,M34,O34,Q34,S34,U34,W34,Y34)</f>
        <v>12000</v>
      </c>
      <c r="AC34" s="50">
        <f t="shared" ref="AC34:AC36" ca="1" si="46">SUM(D34,F34,H34,L34,N34,P34,R34,T34,V34,X34,Z34)</f>
        <v>10.074544856733095</v>
      </c>
      <c r="AD34" s="39">
        <f t="shared" ca="1" si="43"/>
        <v>4.3896473386592438E-4</v>
      </c>
    </row>
    <row r="35" spans="2:30" ht="19" thickBot="1" x14ac:dyDescent="0.4">
      <c r="B35" s="82" t="s">
        <v>71</v>
      </c>
      <c r="C35" s="79">
        <f ca="1">SUMIF(INDIRECT(C$5&amp;"[SUBCATEGORÍA]"),$B35,INDIRECT(C$5&amp;"[ARS]"))</f>
        <v>0</v>
      </c>
      <c r="D35" s="80">
        <f t="shared" ref="D35:D36" ca="1" si="47">SUMIF(INDIRECT(C$5&amp;"[SUBCATEGORÍA]"),$B35,INDIRECT(C$5&amp;"[USD]"))</f>
        <v>0</v>
      </c>
      <c r="E35" s="79">
        <f t="shared" ref="E35:E36" ca="1" si="48">SUMIF(INDIRECT(E$5&amp;"[SUBCATEGORÍA]"),$B35,INDIRECT(E$5&amp;"[ARS]"))</f>
        <v>0</v>
      </c>
      <c r="F35" s="80">
        <f t="shared" ref="F35:F36" ca="1" si="49">SUMIF(INDIRECT(E$5&amp;"[SUBCATEGORÍA]"),$B35,INDIRECT(E$5&amp;"[USD]"))</f>
        <v>0</v>
      </c>
      <c r="G35" s="79">
        <f t="shared" ref="G35:G36" ca="1" si="50">SUMIF(INDIRECT(G$5&amp;"[SUBCATEGORÍA]"),$B35,INDIRECT(G$5&amp;"[ARS]"))</f>
        <v>0</v>
      </c>
      <c r="H35" s="80">
        <f t="shared" ref="H35:H36" ca="1" si="51">SUMIF(INDIRECT(G$5&amp;"[SUBCATEGORÍA]"),$B35,INDIRECT(G$5&amp;"[USD]"))</f>
        <v>0</v>
      </c>
      <c r="I35" s="79">
        <f t="shared" ref="I35:I36" ca="1" si="52">SUMIF(INDIRECT(I$5&amp;"[SUBCATEGORÍA]"),$B35,INDIRECT(I$5&amp;"[ARS]"))</f>
        <v>0</v>
      </c>
      <c r="J35" s="80">
        <f t="shared" ref="J35:J36" ca="1" si="53">SUMIF(INDIRECT(I$5&amp;"[SUBCATEGORÍA]"),$B35,INDIRECT(I$5&amp;"[USD]"))</f>
        <v>0</v>
      </c>
      <c r="K35" s="79">
        <f ca="1">SUMIF(INDIRECT(K$5&amp;"[SUBCATEGORÍA]"),$B35,INDIRECT(K$5&amp;"[ARS]"))</f>
        <v>0</v>
      </c>
      <c r="L35" s="80">
        <f ca="1">SUMIF(INDIRECT(K$5&amp;"[SUBCATEGORÍA]"),$B35,INDIRECT(K$5&amp;"[USD]"))</f>
        <v>0</v>
      </c>
      <c r="M35" s="79">
        <f ca="1">SUMIF(INDIRECT(M$5&amp;"[SUBCATEGORÍA]"),$B35,INDIRECT(M$5&amp;"[ARS]"))</f>
        <v>0</v>
      </c>
      <c r="N35" s="80">
        <f ca="1">SUMIF(INDIRECT(M$5&amp;"[SUBCATEGORÍA]"),$B35,INDIRECT(M$5&amp;"[USD]"))</f>
        <v>0</v>
      </c>
      <c r="O35" s="79">
        <f ca="1">SUMIF(INDIRECT(O$5&amp;"[SUBCATEGORÍA]"),$B35,INDIRECT(O$5&amp;"[ARS]"))</f>
        <v>0</v>
      </c>
      <c r="P35" s="80">
        <f ca="1">SUMIF(INDIRECT(O$5&amp;"[SUBCATEGORÍA]"),$B35,INDIRECT(O$5&amp;"[USD]"))</f>
        <v>0</v>
      </c>
      <c r="Q35" s="79">
        <f ca="1">SUMIF(INDIRECT(Q$5&amp;"[SUBCATEGORÍA]"),$B35,INDIRECT(Q$5&amp;"[ARS]"))</f>
        <v>5000</v>
      </c>
      <c r="R35" s="80">
        <f ca="1">SUMIF(INDIRECT(Q$5&amp;"[SUBCATEGORÍA]"),$B35,INDIRECT(Q$5&amp;"[USD]"))</f>
        <v>3.8759689922480618</v>
      </c>
      <c r="S35" s="79">
        <f ca="1">SUMIF(INDIRECT(S$5&amp;"[SUBCATEGORÍA]"),$B35,INDIRECT(S$5&amp;"[ARS]"))</f>
        <v>0</v>
      </c>
      <c r="T35" s="80">
        <f ca="1">SUMIF(INDIRECT(S$5&amp;"[SUBCATEGORÍA]"),$B35,INDIRECT(S$5&amp;"[USD]"))</f>
        <v>0</v>
      </c>
      <c r="U35" s="79">
        <f ca="1">SUMIF(INDIRECT(U$5&amp;"[SUBCATEGORÍA]"),$B35,INDIRECT(U$5&amp;"[ARS]"))</f>
        <v>0</v>
      </c>
      <c r="V35" s="80">
        <f ca="1">SUMIF(INDIRECT(U$5&amp;"[SUBCATEGORÍA]"),$B35,INDIRECT(U$5&amp;"[USD]"))</f>
        <v>0</v>
      </c>
      <c r="W35" s="79">
        <f ca="1">SUMIF(INDIRECT(W$5&amp;"[SUBCATEGORÍA]"),$B35,INDIRECT(W$5&amp;"[ARS]"))</f>
        <v>0</v>
      </c>
      <c r="X35" s="80">
        <f ca="1">SUMIF(INDIRECT(W$5&amp;"[SUBCATEGORÍA]"),$B35,INDIRECT(W$5&amp;"[USD]"))</f>
        <v>0</v>
      </c>
      <c r="Y35" s="79">
        <f ca="1">SUMIF(INDIRECT(Y$5&amp;"[SUBCATEGORÍA]"),$B35,INDIRECT(Y$5&amp;"[ARS]"))</f>
        <v>0</v>
      </c>
      <c r="Z35" s="80">
        <f ca="1">SUMIF(INDIRECT(Y$5&amp;"[SUBCATEGORÍA]"),$B35,INDIRECT(Y$5&amp;"[USD]"))</f>
        <v>0</v>
      </c>
      <c r="AB35" s="50">
        <f t="shared" ca="1" si="45"/>
        <v>5000</v>
      </c>
      <c r="AC35" s="50">
        <f t="shared" ca="1" si="46"/>
        <v>3.8759689922480618</v>
      </c>
      <c r="AD35" s="39">
        <f t="shared" ca="1" si="43"/>
        <v>1.8290197244413516E-4</v>
      </c>
    </row>
    <row r="36" spans="2:30" ht="19" thickBot="1" x14ac:dyDescent="0.4">
      <c r="B36" s="82" t="s">
        <v>29</v>
      </c>
      <c r="C36" s="91">
        <f ca="1">SUMIF(INDIRECT(C$5&amp;"[SUBCATEGORÍA]"),$B36,INDIRECT(C$5&amp;"[ARS]"))</f>
        <v>0</v>
      </c>
      <c r="D36" s="80">
        <f t="shared" ca="1" si="47"/>
        <v>0</v>
      </c>
      <c r="E36" s="79">
        <f t="shared" ca="1" si="48"/>
        <v>0</v>
      </c>
      <c r="F36" s="80">
        <f t="shared" ca="1" si="49"/>
        <v>0</v>
      </c>
      <c r="G36" s="79">
        <f t="shared" ca="1" si="50"/>
        <v>0</v>
      </c>
      <c r="H36" s="80">
        <f t="shared" ca="1" si="51"/>
        <v>0</v>
      </c>
      <c r="I36" s="79">
        <f t="shared" ca="1" si="52"/>
        <v>0</v>
      </c>
      <c r="J36" s="80">
        <f t="shared" ca="1" si="53"/>
        <v>0</v>
      </c>
      <c r="K36" s="91">
        <f ca="1">SUMIF(INDIRECT(K$5&amp;"[SUBCATEGORÍA]"),$B36,INDIRECT(K$5&amp;"[ARS]"))</f>
        <v>0</v>
      </c>
      <c r="L36" s="92">
        <f ca="1">SUMIF(INDIRECT(K$5&amp;"[SUBCATEGORÍA]"),$B36,INDIRECT(K$5&amp;"[USD]"))</f>
        <v>0</v>
      </c>
      <c r="M36" s="91">
        <f ca="1">SUMIF(INDIRECT(M$5&amp;"[SUBCATEGORÍA]"),$B36,INDIRECT(M$5&amp;"[ARS]"))</f>
        <v>0</v>
      </c>
      <c r="N36" s="92">
        <f ca="1">SUMIF(INDIRECT(M$5&amp;"[SUBCATEGORÍA]"),$B36,INDIRECT(M$5&amp;"[USD]"))</f>
        <v>0</v>
      </c>
      <c r="O36" s="91">
        <f ca="1">SUMIF(INDIRECT(O$5&amp;"[SUBCATEGORÍA]"),$B36,INDIRECT(O$5&amp;"[ARS]"))</f>
        <v>0</v>
      </c>
      <c r="P36" s="92">
        <f ca="1">SUMIF(INDIRECT(O$5&amp;"[SUBCATEGORÍA]"),$B36,INDIRECT(O$5&amp;"[USD]"))</f>
        <v>0</v>
      </c>
      <c r="Q36" s="91">
        <f ca="1">SUMIF(INDIRECT(Q$5&amp;"[SUBCATEGORÍA]"),$B36,INDIRECT(Q$5&amp;"[ARS]"))</f>
        <v>0</v>
      </c>
      <c r="R36" s="92">
        <f ca="1">SUMIF(INDIRECT(Q$5&amp;"[SUBCATEGORÍA]"),$B36,INDIRECT(Q$5&amp;"[USD]"))</f>
        <v>0</v>
      </c>
      <c r="S36" s="91">
        <f ca="1">SUMIF(INDIRECT(S$5&amp;"[SUBCATEGORÍA]"),$B36,INDIRECT(S$5&amp;"[ARS]"))</f>
        <v>0</v>
      </c>
      <c r="T36" s="92">
        <f ca="1">SUMIF(INDIRECT(S$5&amp;"[SUBCATEGORÍA]"),$B36,INDIRECT(S$5&amp;"[USD]"))</f>
        <v>0</v>
      </c>
      <c r="U36" s="91">
        <f ca="1">SUMIF(INDIRECT(U$5&amp;"[SUBCATEGORÍA]"),$B36,INDIRECT(U$5&amp;"[ARS]"))</f>
        <v>0</v>
      </c>
      <c r="V36" s="92">
        <f ca="1">SUMIF(INDIRECT(U$5&amp;"[SUBCATEGORÍA]"),$B36,INDIRECT(U$5&amp;"[USD]"))</f>
        <v>0</v>
      </c>
      <c r="W36" s="91">
        <f ca="1">SUMIF(INDIRECT(W$5&amp;"[SUBCATEGORÍA]"),$B36,INDIRECT(W$5&amp;"[ARS]"))</f>
        <v>0</v>
      </c>
      <c r="X36" s="92">
        <f ca="1">SUMIF(INDIRECT(W$5&amp;"[SUBCATEGORÍA]"),$B36,INDIRECT(W$5&amp;"[USD]"))</f>
        <v>0</v>
      </c>
      <c r="Y36" s="91">
        <f ca="1">SUMIF(INDIRECT(Y$5&amp;"[SUBCATEGORÍA]"),$B36,INDIRECT(Y$5&amp;"[ARS]"))</f>
        <v>0</v>
      </c>
      <c r="Z36" s="92">
        <f ca="1">SUMIF(INDIRECT(Y$5&amp;"[SUBCATEGORÍA]"),$B36,INDIRECT(Y$5&amp;"[USD]"))</f>
        <v>0</v>
      </c>
      <c r="AA36" s="48"/>
      <c r="AB36" s="50">
        <f t="shared" ca="1" si="45"/>
        <v>0</v>
      </c>
      <c r="AC36" s="50">
        <f t="shared" ca="1" si="46"/>
        <v>0</v>
      </c>
      <c r="AD36" s="39">
        <f t="shared" ca="1" si="43"/>
        <v>0</v>
      </c>
    </row>
    <row r="37" spans="2:30" ht="18.5" x14ac:dyDescent="0.45">
      <c r="B37" s="81" t="s">
        <v>87</v>
      </c>
      <c r="C37" s="88">
        <f t="shared" ref="C37:Z37" ca="1" si="54">SUM(C38:C44)</f>
        <v>0</v>
      </c>
      <c r="D37" s="89">
        <f t="shared" ca="1" si="54"/>
        <v>0</v>
      </c>
      <c r="E37" s="90">
        <f t="shared" ca="1" si="54"/>
        <v>362840</v>
      </c>
      <c r="F37" s="89">
        <f t="shared" ca="1" si="54"/>
        <v>306.38842975206614</v>
      </c>
      <c r="G37" s="90">
        <f t="shared" ca="1" si="54"/>
        <v>72240</v>
      </c>
      <c r="H37" s="89">
        <f t="shared" ca="1" si="54"/>
        <v>60.2</v>
      </c>
      <c r="I37" s="90">
        <f t="shared" ca="1" si="54"/>
        <v>520000</v>
      </c>
      <c r="J37" s="89">
        <f t="shared" ca="1" si="54"/>
        <v>388.05970149253733</v>
      </c>
      <c r="K37" s="90">
        <f t="shared" ca="1" si="54"/>
        <v>0</v>
      </c>
      <c r="L37" s="89">
        <f t="shared" ca="1" si="54"/>
        <v>0</v>
      </c>
      <c r="M37" s="90">
        <f t="shared" ca="1" si="54"/>
        <v>20000</v>
      </c>
      <c r="N37" s="89">
        <f t="shared" ca="1" si="54"/>
        <v>17.543859649122808</v>
      </c>
      <c r="O37" s="90">
        <f t="shared" ca="1" si="54"/>
        <v>0</v>
      </c>
      <c r="P37" s="89">
        <f t="shared" ca="1" si="54"/>
        <v>0</v>
      </c>
      <c r="Q37" s="90">
        <f t="shared" ca="1" si="54"/>
        <v>123585</v>
      </c>
      <c r="R37" s="89">
        <f t="shared" ca="1" si="54"/>
        <v>95.065384615384616</v>
      </c>
      <c r="S37" s="90">
        <f t="shared" ca="1" si="54"/>
        <v>0</v>
      </c>
      <c r="T37" s="89">
        <f t="shared" ca="1" si="54"/>
        <v>0</v>
      </c>
      <c r="U37" s="90">
        <f t="shared" ca="1" si="54"/>
        <v>0</v>
      </c>
      <c r="V37" s="89">
        <f t="shared" ca="1" si="54"/>
        <v>0</v>
      </c>
      <c r="W37" s="90">
        <f t="shared" ca="1" si="54"/>
        <v>0</v>
      </c>
      <c r="X37" s="89">
        <f t="shared" ca="1" si="54"/>
        <v>0</v>
      </c>
      <c r="Y37" s="90">
        <f t="shared" ca="1" si="54"/>
        <v>0</v>
      </c>
      <c r="Z37" s="89">
        <f t="shared" ca="1" si="54"/>
        <v>0</v>
      </c>
      <c r="AA37" s="48"/>
      <c r="AB37" s="49">
        <f ca="1">SUM(C37,E37,G37,I37,K37,M37,O37,Q37,S37,U37,W37,Y37)</f>
        <v>1098665</v>
      </c>
      <c r="AC37" s="49">
        <f ca="1">SUM(D37,F37,H37,L37,N37,P37,R37,T37,V37,X37,Z37)</f>
        <v>479.19767401657356</v>
      </c>
      <c r="AD37" s="38">
        <f t="shared" ca="1" si="43"/>
        <v>4.0189599111067148E-2</v>
      </c>
    </row>
    <row r="38" spans="2:30" ht="19" thickBot="1" x14ac:dyDescent="0.4">
      <c r="B38" s="82" t="s">
        <v>89</v>
      </c>
      <c r="C38" s="79">
        <f ca="1">SUMIF(INDIRECT(C$5&amp;"[SUBCATEGORÍA]"),$B38,INDIRECT(C$5&amp;"[ARS]"))</f>
        <v>0</v>
      </c>
      <c r="D38" s="80">
        <f ca="1">SUMIF(INDIRECT(C$5&amp;"[SUBCATEGORÍA]"),$B38,INDIRECT(C$5&amp;"[USD]"))</f>
        <v>0</v>
      </c>
      <c r="E38" s="79">
        <f ca="1">SUMIF(INDIRECT(E$5&amp;"[SUBCATEGORÍA]"),$B38,INDIRECT(E$5&amp;"[ARS]"))</f>
        <v>310340</v>
      </c>
      <c r="F38" s="80">
        <f ca="1">SUMIF(INDIRECT(E$5&amp;"[SUBCATEGORÍA]"),$B38,INDIRECT(E$5&amp;"[USD]"))</f>
        <v>263</v>
      </c>
      <c r="G38" s="79">
        <f ca="1">SUMIF(INDIRECT(G$5&amp;"[SUBCATEGORÍA]"),$B38,INDIRECT(G$5&amp;"[ARS]"))</f>
        <v>0</v>
      </c>
      <c r="H38" s="80">
        <f ca="1">SUMIF(INDIRECT(G$5&amp;"[SUBCATEGORÍA]"),$B38,INDIRECT(G$5&amp;"[USD]"))</f>
        <v>0</v>
      </c>
      <c r="I38" s="79">
        <f ca="1">SUMIF(INDIRECT(I$5&amp;"[SUBCATEGORÍA]"),$B38,INDIRECT(I$5&amp;"[ARS]"))</f>
        <v>0</v>
      </c>
      <c r="J38" s="80">
        <f ca="1">SUMIF(INDIRECT(I$5&amp;"[SUBCATEGORÍA]"),$B38,INDIRECT(I$5&amp;"[USD]"))</f>
        <v>0</v>
      </c>
      <c r="K38" s="79">
        <f t="shared" ref="K38:K44" ca="1" si="55">SUMIF(INDIRECT(K$5&amp;"[SUBCATEGORÍA]"),$B38,INDIRECT(K$5&amp;"[ARS]"))</f>
        <v>0</v>
      </c>
      <c r="L38" s="80">
        <f t="shared" ref="L38:L44" ca="1" si="56">SUMIF(INDIRECT(K$5&amp;"[SUBCATEGORÍA]"),$B38,INDIRECT(K$5&amp;"[USD]"))</f>
        <v>0</v>
      </c>
      <c r="M38" s="79">
        <f t="shared" ref="M38:M44" ca="1" si="57">SUMIF(INDIRECT(M$5&amp;"[SUBCATEGORÍA]"),$B38,INDIRECT(M$5&amp;"[ARS]"))</f>
        <v>0</v>
      </c>
      <c r="N38" s="80">
        <f t="shared" ref="N38:N44" ca="1" si="58">SUMIF(INDIRECT(M$5&amp;"[SUBCATEGORÍA]"),$B38,INDIRECT(M$5&amp;"[USD]"))</f>
        <v>0</v>
      </c>
      <c r="O38" s="79">
        <f t="shared" ref="O38:O44" ca="1" si="59">SUMIF(INDIRECT(O$5&amp;"[SUBCATEGORÍA]"),$B38,INDIRECT(O$5&amp;"[ARS]"))</f>
        <v>0</v>
      </c>
      <c r="P38" s="80">
        <f t="shared" ref="P38:P44" ca="1" si="60">SUMIF(INDIRECT(O$5&amp;"[SUBCATEGORÍA]"),$B38,INDIRECT(O$5&amp;"[USD]"))</f>
        <v>0</v>
      </c>
      <c r="Q38" s="79">
        <f t="shared" ref="Q38:Q44" ca="1" si="61">SUMIF(INDIRECT(Q$5&amp;"[SUBCATEGORÍA]"),$B38,INDIRECT(Q$5&amp;"[ARS]"))</f>
        <v>0</v>
      </c>
      <c r="R38" s="80">
        <f t="shared" ref="R38:R44" ca="1" si="62">SUMIF(INDIRECT(Q$5&amp;"[SUBCATEGORÍA]"),$B38,INDIRECT(Q$5&amp;"[USD]"))</f>
        <v>0</v>
      </c>
      <c r="S38" s="79">
        <f t="shared" ref="S38:S44" ca="1" si="63">SUMIF(INDIRECT(S$5&amp;"[SUBCATEGORÍA]"),$B38,INDIRECT(S$5&amp;"[ARS]"))</f>
        <v>0</v>
      </c>
      <c r="T38" s="80">
        <f t="shared" ref="T38:T44" ca="1" si="64">SUMIF(INDIRECT(S$5&amp;"[SUBCATEGORÍA]"),$B38,INDIRECT(S$5&amp;"[USD]"))</f>
        <v>0</v>
      </c>
      <c r="U38" s="79">
        <f t="shared" ref="U38:U44" ca="1" si="65">SUMIF(INDIRECT(U$5&amp;"[SUBCATEGORÍA]"),$B38,INDIRECT(U$5&amp;"[ARS]"))</f>
        <v>0</v>
      </c>
      <c r="V38" s="80">
        <f t="shared" ref="V38:V44" ca="1" si="66">SUMIF(INDIRECT(U$5&amp;"[SUBCATEGORÍA]"),$B38,INDIRECT(U$5&amp;"[USD]"))</f>
        <v>0</v>
      </c>
      <c r="W38" s="79">
        <f t="shared" ref="W38:W44" ca="1" si="67">SUMIF(INDIRECT(W$5&amp;"[SUBCATEGORÍA]"),$B38,INDIRECT(W$5&amp;"[ARS]"))</f>
        <v>0</v>
      </c>
      <c r="X38" s="80">
        <f t="shared" ref="X38:X44" ca="1" si="68">SUMIF(INDIRECT(W$5&amp;"[SUBCATEGORÍA]"),$B38,INDIRECT(W$5&amp;"[USD]"))</f>
        <v>0</v>
      </c>
      <c r="Y38" s="79">
        <f t="shared" ref="Y38:Y44" ca="1" si="69">SUMIF(INDIRECT(Y$5&amp;"[SUBCATEGORÍA]"),$B38,INDIRECT(Y$5&amp;"[ARS]"))</f>
        <v>0</v>
      </c>
      <c r="Z38" s="80">
        <f t="shared" ref="Z38:Z44" ca="1" si="70">SUMIF(INDIRECT(Y$5&amp;"[SUBCATEGORÍA]"),$B38,INDIRECT(Y$5&amp;"[USD]"))</f>
        <v>0</v>
      </c>
      <c r="AB38" s="50">
        <f t="shared" ref="AB38:AB44" ca="1" si="71">SUM(C38,E38,G38,I38,K38,M38,O38,Q38,S38,U38,W38,Y38)</f>
        <v>310340</v>
      </c>
      <c r="AC38" s="50">
        <f t="shared" ref="AC38:AC44" ca="1" si="72">SUM(D38,F38,H38,L38,N38,P38,R38,T38,V38,X38,Z38)</f>
        <v>263</v>
      </c>
      <c r="AD38" s="39">
        <f t="shared" ca="1" si="43"/>
        <v>1.135235962566258E-2</v>
      </c>
    </row>
    <row r="39" spans="2:30" ht="19" thickBot="1" x14ac:dyDescent="0.4">
      <c r="B39" s="82" t="s">
        <v>97</v>
      </c>
      <c r="C39" s="79">
        <f ca="1">SUMIF(INDIRECT(C$5&amp;"[SUBCATEGORÍA]"),$B39,INDIRECT(C$5&amp;"[ARS]"))</f>
        <v>0</v>
      </c>
      <c r="D39" s="80">
        <f ca="1">SUMIF(INDIRECT(C$5&amp;"[SUBCATEGORÍA]"),$B39,INDIRECT(C$5&amp;"[USD]"))</f>
        <v>0</v>
      </c>
      <c r="E39" s="79">
        <f ca="1">SUMIF(INDIRECT(E$5&amp;"[SUBCATEGORÍA]"),$B39,INDIRECT(E$5&amp;"[ARS]"))</f>
        <v>52500</v>
      </c>
      <c r="F39" s="80">
        <f ca="1">SUMIF(INDIRECT(E$5&amp;"[SUBCATEGORÍA]"),$B39,INDIRECT(E$5&amp;"[USD]"))</f>
        <v>43.388429752066116</v>
      </c>
      <c r="G39" s="79">
        <f ca="1">SUMIF(INDIRECT(G$5&amp;"[SUBCATEGORÍA]"),$B39,INDIRECT(G$5&amp;"[ARS]"))</f>
        <v>72240</v>
      </c>
      <c r="H39" s="80">
        <f ca="1">SUMIF(INDIRECT(G$5&amp;"[SUBCATEGORÍA]"),$B39,INDIRECT(G$5&amp;"[USD]"))</f>
        <v>60.2</v>
      </c>
      <c r="I39" s="79">
        <f ca="1">SUMIF(INDIRECT(I$5&amp;"[SUBCATEGORÍA]"),$B39,INDIRECT(I$5&amp;"[ARS]"))</f>
        <v>520000</v>
      </c>
      <c r="J39" s="80">
        <f ca="1">SUMIF(INDIRECT(I$5&amp;"[SUBCATEGORÍA]"),$B39,INDIRECT(I$5&amp;"[USD]"))</f>
        <v>388.05970149253733</v>
      </c>
      <c r="K39" s="79">
        <f t="shared" ca="1" si="55"/>
        <v>0</v>
      </c>
      <c r="L39" s="80">
        <f t="shared" ca="1" si="56"/>
        <v>0</v>
      </c>
      <c r="M39" s="79">
        <f t="shared" ca="1" si="57"/>
        <v>0</v>
      </c>
      <c r="N39" s="80">
        <f t="shared" ca="1" si="58"/>
        <v>0</v>
      </c>
      <c r="O39" s="79">
        <f t="shared" ca="1" si="59"/>
        <v>0</v>
      </c>
      <c r="P39" s="80">
        <f t="shared" ca="1" si="60"/>
        <v>0</v>
      </c>
      <c r="Q39" s="79">
        <f t="shared" ca="1" si="61"/>
        <v>123585</v>
      </c>
      <c r="R39" s="80">
        <f t="shared" ca="1" si="62"/>
        <v>95.065384615384616</v>
      </c>
      <c r="S39" s="79">
        <f t="shared" ca="1" si="63"/>
        <v>0</v>
      </c>
      <c r="T39" s="80">
        <f t="shared" ca="1" si="64"/>
        <v>0</v>
      </c>
      <c r="U39" s="79">
        <f t="shared" ca="1" si="65"/>
        <v>0</v>
      </c>
      <c r="V39" s="80">
        <f t="shared" ca="1" si="66"/>
        <v>0</v>
      </c>
      <c r="W39" s="79">
        <f t="shared" ca="1" si="67"/>
        <v>0</v>
      </c>
      <c r="X39" s="80">
        <f t="shared" ca="1" si="68"/>
        <v>0</v>
      </c>
      <c r="Y39" s="79">
        <f t="shared" ca="1" si="69"/>
        <v>0</v>
      </c>
      <c r="Z39" s="80">
        <f t="shared" ca="1" si="70"/>
        <v>0</v>
      </c>
      <c r="AB39" s="50">
        <f t="shared" ca="1" si="71"/>
        <v>768325</v>
      </c>
      <c r="AC39" s="50">
        <f t="shared" ca="1" si="72"/>
        <v>198.65381436745074</v>
      </c>
      <c r="AD39" s="39">
        <f t="shared" ca="1" si="43"/>
        <v>2.8105631595628029E-2</v>
      </c>
    </row>
    <row r="40" spans="2:30" ht="19" thickBot="1" x14ac:dyDescent="0.4">
      <c r="B40" s="82" t="s">
        <v>82</v>
      </c>
      <c r="C40" s="79">
        <f t="shared" ref="C40:C44" ca="1" si="73">SUMIF(INDIRECT(C$5&amp;"[SUBCATEGORÍA]"),$B40,INDIRECT(C$5&amp;"[ARS]"))</f>
        <v>0</v>
      </c>
      <c r="D40" s="80">
        <f t="shared" ref="D40:D44" ca="1" si="74">SUMIF(INDIRECT(C$5&amp;"[SUBCATEGORÍA]"),$B40,INDIRECT(C$5&amp;"[USD]"))</f>
        <v>0</v>
      </c>
      <c r="E40" s="79">
        <f t="shared" ref="E40:E44" ca="1" si="75">SUMIF(INDIRECT(E$5&amp;"[SUBCATEGORÍA]"),$B40,INDIRECT(E$5&amp;"[ARS]"))</f>
        <v>0</v>
      </c>
      <c r="F40" s="80">
        <f t="shared" ref="F40:F44" ca="1" si="76">SUMIF(INDIRECT(E$5&amp;"[SUBCATEGORÍA]"),$B40,INDIRECT(E$5&amp;"[USD]"))</f>
        <v>0</v>
      </c>
      <c r="G40" s="79">
        <f t="shared" ref="G40:G44" ca="1" si="77">SUMIF(INDIRECT(G$5&amp;"[SUBCATEGORÍA]"),$B40,INDIRECT(G$5&amp;"[ARS]"))</f>
        <v>0</v>
      </c>
      <c r="H40" s="80">
        <f t="shared" ref="H40:H44" ca="1" si="78">SUMIF(INDIRECT(G$5&amp;"[SUBCATEGORÍA]"),$B40,INDIRECT(G$5&amp;"[USD]"))</f>
        <v>0</v>
      </c>
      <c r="I40" s="79">
        <f ca="1">SUMIF(INDIRECT(I$5&amp;"[SUBCATEGORÍA]"),$B40,INDIRECT(I$5&amp;"[ARS]"))</f>
        <v>0</v>
      </c>
      <c r="J40" s="80">
        <f t="shared" ref="J40:J44" ca="1" si="79">SUMIF(INDIRECT(I$5&amp;"[SUBCATEGORÍA]"),$B40,INDIRECT(I$5&amp;"[USD]"))</f>
        <v>0</v>
      </c>
      <c r="K40" s="79">
        <f t="shared" ca="1" si="55"/>
        <v>0</v>
      </c>
      <c r="L40" s="80">
        <f t="shared" ca="1" si="56"/>
        <v>0</v>
      </c>
      <c r="M40" s="79">
        <f t="shared" ca="1" si="57"/>
        <v>0</v>
      </c>
      <c r="N40" s="80">
        <f t="shared" ca="1" si="58"/>
        <v>0</v>
      </c>
      <c r="O40" s="79">
        <f t="shared" ca="1" si="59"/>
        <v>0</v>
      </c>
      <c r="P40" s="80">
        <f t="shared" ca="1" si="60"/>
        <v>0</v>
      </c>
      <c r="Q40" s="79">
        <f t="shared" ca="1" si="61"/>
        <v>0</v>
      </c>
      <c r="R40" s="80">
        <f t="shared" ca="1" si="62"/>
        <v>0</v>
      </c>
      <c r="S40" s="79">
        <f t="shared" ca="1" si="63"/>
        <v>0</v>
      </c>
      <c r="T40" s="80">
        <f t="shared" ca="1" si="64"/>
        <v>0</v>
      </c>
      <c r="U40" s="79">
        <f t="shared" ca="1" si="65"/>
        <v>0</v>
      </c>
      <c r="V40" s="80">
        <f t="shared" ca="1" si="66"/>
        <v>0</v>
      </c>
      <c r="W40" s="79">
        <f t="shared" ca="1" si="67"/>
        <v>0</v>
      </c>
      <c r="X40" s="80">
        <f t="shared" ca="1" si="68"/>
        <v>0</v>
      </c>
      <c r="Y40" s="79">
        <f t="shared" ca="1" si="69"/>
        <v>0</v>
      </c>
      <c r="Z40" s="80">
        <f t="shared" ca="1" si="70"/>
        <v>0</v>
      </c>
      <c r="AB40" s="50">
        <f t="shared" ca="1" si="71"/>
        <v>0</v>
      </c>
      <c r="AC40" s="50">
        <f t="shared" ca="1" si="72"/>
        <v>0</v>
      </c>
      <c r="AD40" s="39">
        <f t="shared" ca="1" si="43"/>
        <v>0</v>
      </c>
    </row>
    <row r="41" spans="2:30" ht="19" thickBot="1" x14ac:dyDescent="0.4">
      <c r="B41" s="82" t="s">
        <v>83</v>
      </c>
      <c r="C41" s="79">
        <f t="shared" ca="1" si="73"/>
        <v>0</v>
      </c>
      <c r="D41" s="80">
        <f t="shared" ca="1" si="74"/>
        <v>0</v>
      </c>
      <c r="E41" s="79">
        <f t="shared" ca="1" si="75"/>
        <v>0</v>
      </c>
      <c r="F41" s="80">
        <f t="shared" ca="1" si="76"/>
        <v>0</v>
      </c>
      <c r="G41" s="79">
        <f t="shared" ca="1" si="77"/>
        <v>0</v>
      </c>
      <c r="H41" s="80">
        <f t="shared" ca="1" si="78"/>
        <v>0</v>
      </c>
      <c r="I41" s="79">
        <f t="shared" ref="I41:I44" ca="1" si="80">SUMIF(INDIRECT(I$5&amp;"[SUBCATEGORÍA]"),$B41,INDIRECT(I$5&amp;"[ARS]"))</f>
        <v>0</v>
      </c>
      <c r="J41" s="80">
        <f t="shared" ca="1" si="79"/>
        <v>0</v>
      </c>
      <c r="K41" s="79">
        <f t="shared" ca="1" si="55"/>
        <v>0</v>
      </c>
      <c r="L41" s="80">
        <f t="shared" ca="1" si="56"/>
        <v>0</v>
      </c>
      <c r="M41" s="79">
        <f t="shared" ca="1" si="57"/>
        <v>20000</v>
      </c>
      <c r="N41" s="80">
        <f t="shared" ca="1" si="58"/>
        <v>17.543859649122808</v>
      </c>
      <c r="O41" s="79">
        <f t="shared" ca="1" si="59"/>
        <v>0</v>
      </c>
      <c r="P41" s="80">
        <f t="shared" ca="1" si="60"/>
        <v>0</v>
      </c>
      <c r="Q41" s="79">
        <f t="shared" ca="1" si="61"/>
        <v>0</v>
      </c>
      <c r="R41" s="80">
        <f t="shared" ca="1" si="62"/>
        <v>0</v>
      </c>
      <c r="S41" s="79">
        <f t="shared" ca="1" si="63"/>
        <v>0</v>
      </c>
      <c r="T41" s="80">
        <f t="shared" ca="1" si="64"/>
        <v>0</v>
      </c>
      <c r="U41" s="79">
        <f t="shared" ca="1" si="65"/>
        <v>0</v>
      </c>
      <c r="V41" s="80">
        <f t="shared" ca="1" si="66"/>
        <v>0</v>
      </c>
      <c r="W41" s="79">
        <f t="shared" ca="1" si="67"/>
        <v>0</v>
      </c>
      <c r="X41" s="80">
        <f t="shared" ca="1" si="68"/>
        <v>0</v>
      </c>
      <c r="Y41" s="79">
        <f t="shared" ca="1" si="69"/>
        <v>0</v>
      </c>
      <c r="Z41" s="80">
        <f t="shared" ca="1" si="70"/>
        <v>0</v>
      </c>
      <c r="AB41" s="50">
        <f t="shared" ca="1" si="71"/>
        <v>20000</v>
      </c>
      <c r="AC41" s="50">
        <f t="shared" ca="1" si="72"/>
        <v>17.543859649122808</v>
      </c>
      <c r="AD41" s="39">
        <f t="shared" ca="1" si="43"/>
        <v>7.3160788977654065E-4</v>
      </c>
    </row>
    <row r="42" spans="2:30" ht="19" thickBot="1" x14ac:dyDescent="0.4">
      <c r="B42" s="82" t="s">
        <v>90</v>
      </c>
      <c r="C42" s="79">
        <f t="shared" ca="1" si="73"/>
        <v>0</v>
      </c>
      <c r="D42" s="80">
        <f t="shared" ca="1" si="74"/>
        <v>0</v>
      </c>
      <c r="E42" s="79">
        <f t="shared" ca="1" si="75"/>
        <v>0</v>
      </c>
      <c r="F42" s="80">
        <f t="shared" ca="1" si="76"/>
        <v>0</v>
      </c>
      <c r="G42" s="79">
        <f t="shared" ca="1" si="77"/>
        <v>0</v>
      </c>
      <c r="H42" s="80">
        <f t="shared" ca="1" si="78"/>
        <v>0</v>
      </c>
      <c r="I42" s="79">
        <f t="shared" ca="1" si="80"/>
        <v>0</v>
      </c>
      <c r="J42" s="80">
        <f t="shared" ca="1" si="79"/>
        <v>0</v>
      </c>
      <c r="K42" s="79">
        <f t="shared" ca="1" si="55"/>
        <v>0</v>
      </c>
      <c r="L42" s="80">
        <f t="shared" ca="1" si="56"/>
        <v>0</v>
      </c>
      <c r="M42" s="79">
        <f t="shared" ca="1" si="57"/>
        <v>0</v>
      </c>
      <c r="N42" s="80">
        <f t="shared" ca="1" si="58"/>
        <v>0</v>
      </c>
      <c r="O42" s="79">
        <f t="shared" ca="1" si="59"/>
        <v>0</v>
      </c>
      <c r="P42" s="80">
        <f t="shared" ca="1" si="60"/>
        <v>0</v>
      </c>
      <c r="Q42" s="79">
        <f t="shared" ca="1" si="61"/>
        <v>0</v>
      </c>
      <c r="R42" s="80">
        <f t="shared" ca="1" si="62"/>
        <v>0</v>
      </c>
      <c r="S42" s="79">
        <f t="shared" ca="1" si="63"/>
        <v>0</v>
      </c>
      <c r="T42" s="80">
        <f t="shared" ca="1" si="64"/>
        <v>0</v>
      </c>
      <c r="U42" s="79">
        <f t="shared" ca="1" si="65"/>
        <v>0</v>
      </c>
      <c r="V42" s="80">
        <f t="shared" ca="1" si="66"/>
        <v>0</v>
      </c>
      <c r="W42" s="79">
        <f t="shared" ca="1" si="67"/>
        <v>0</v>
      </c>
      <c r="X42" s="80">
        <f t="shared" ca="1" si="68"/>
        <v>0</v>
      </c>
      <c r="Y42" s="79">
        <f t="shared" ca="1" si="69"/>
        <v>0</v>
      </c>
      <c r="Z42" s="80">
        <f t="shared" ca="1" si="70"/>
        <v>0</v>
      </c>
      <c r="AB42" s="50">
        <f t="shared" ca="1" si="71"/>
        <v>0</v>
      </c>
      <c r="AC42" s="50">
        <f t="shared" ca="1" si="72"/>
        <v>0</v>
      </c>
      <c r="AD42" s="39">
        <f t="shared" ca="1" si="43"/>
        <v>0</v>
      </c>
    </row>
    <row r="43" spans="2:30" ht="19" thickBot="1" x14ac:dyDescent="0.4">
      <c r="B43" s="82" t="s">
        <v>94</v>
      </c>
      <c r="C43" s="79">
        <f t="shared" ca="1" si="73"/>
        <v>0</v>
      </c>
      <c r="D43" s="80">
        <f t="shared" ca="1" si="74"/>
        <v>0</v>
      </c>
      <c r="E43" s="79">
        <f t="shared" ca="1" si="75"/>
        <v>0</v>
      </c>
      <c r="F43" s="80">
        <f t="shared" ca="1" si="76"/>
        <v>0</v>
      </c>
      <c r="G43" s="79">
        <f t="shared" ca="1" si="77"/>
        <v>0</v>
      </c>
      <c r="H43" s="80">
        <f t="shared" ca="1" si="78"/>
        <v>0</v>
      </c>
      <c r="I43" s="79">
        <f t="shared" ca="1" si="80"/>
        <v>0</v>
      </c>
      <c r="J43" s="80">
        <f t="shared" ca="1" si="79"/>
        <v>0</v>
      </c>
      <c r="K43" s="79">
        <f t="shared" ca="1" si="55"/>
        <v>0</v>
      </c>
      <c r="L43" s="80">
        <f t="shared" ca="1" si="56"/>
        <v>0</v>
      </c>
      <c r="M43" s="79">
        <f t="shared" ca="1" si="57"/>
        <v>0</v>
      </c>
      <c r="N43" s="80">
        <f t="shared" ca="1" si="58"/>
        <v>0</v>
      </c>
      <c r="O43" s="79">
        <f t="shared" ca="1" si="59"/>
        <v>0</v>
      </c>
      <c r="P43" s="80">
        <f t="shared" ca="1" si="60"/>
        <v>0</v>
      </c>
      <c r="Q43" s="79">
        <f t="shared" ca="1" si="61"/>
        <v>0</v>
      </c>
      <c r="R43" s="80">
        <f t="shared" ca="1" si="62"/>
        <v>0</v>
      </c>
      <c r="S43" s="79">
        <f t="shared" ca="1" si="63"/>
        <v>0</v>
      </c>
      <c r="T43" s="80">
        <f t="shared" ca="1" si="64"/>
        <v>0</v>
      </c>
      <c r="U43" s="79">
        <f t="shared" ca="1" si="65"/>
        <v>0</v>
      </c>
      <c r="V43" s="80">
        <f t="shared" ca="1" si="66"/>
        <v>0</v>
      </c>
      <c r="W43" s="79">
        <f t="shared" ca="1" si="67"/>
        <v>0</v>
      </c>
      <c r="X43" s="80">
        <f t="shared" ca="1" si="68"/>
        <v>0</v>
      </c>
      <c r="Y43" s="79">
        <f t="shared" ca="1" si="69"/>
        <v>0</v>
      </c>
      <c r="Z43" s="80">
        <f t="shared" ca="1" si="70"/>
        <v>0</v>
      </c>
      <c r="AB43" s="50">
        <f t="shared" ca="1" si="71"/>
        <v>0</v>
      </c>
      <c r="AC43" s="50">
        <f t="shared" ca="1" si="72"/>
        <v>0</v>
      </c>
      <c r="AD43" s="39">
        <f t="shared" ca="1" si="43"/>
        <v>0</v>
      </c>
    </row>
    <row r="44" spans="2:30" ht="19" thickBot="1" x14ac:dyDescent="0.4">
      <c r="B44" s="82" t="s">
        <v>86</v>
      </c>
      <c r="C44" s="79">
        <f t="shared" ca="1" si="73"/>
        <v>0</v>
      </c>
      <c r="D44" s="80">
        <f t="shared" ca="1" si="74"/>
        <v>0</v>
      </c>
      <c r="E44" s="79">
        <f t="shared" ca="1" si="75"/>
        <v>0</v>
      </c>
      <c r="F44" s="80">
        <f t="shared" ca="1" si="76"/>
        <v>0</v>
      </c>
      <c r="G44" s="79">
        <f t="shared" ca="1" si="77"/>
        <v>0</v>
      </c>
      <c r="H44" s="80">
        <f t="shared" ca="1" si="78"/>
        <v>0</v>
      </c>
      <c r="I44" s="79">
        <f t="shared" ca="1" si="80"/>
        <v>0</v>
      </c>
      <c r="J44" s="80">
        <f t="shared" ca="1" si="79"/>
        <v>0</v>
      </c>
      <c r="K44" s="79">
        <f t="shared" ca="1" si="55"/>
        <v>0</v>
      </c>
      <c r="L44" s="80">
        <f t="shared" ca="1" si="56"/>
        <v>0</v>
      </c>
      <c r="M44" s="79">
        <f t="shared" ca="1" si="57"/>
        <v>0</v>
      </c>
      <c r="N44" s="80">
        <f t="shared" ca="1" si="58"/>
        <v>0</v>
      </c>
      <c r="O44" s="79">
        <f t="shared" ca="1" si="59"/>
        <v>0</v>
      </c>
      <c r="P44" s="80">
        <f t="shared" ca="1" si="60"/>
        <v>0</v>
      </c>
      <c r="Q44" s="79">
        <f t="shared" ca="1" si="61"/>
        <v>0</v>
      </c>
      <c r="R44" s="80">
        <f t="shared" ca="1" si="62"/>
        <v>0</v>
      </c>
      <c r="S44" s="79">
        <f t="shared" ca="1" si="63"/>
        <v>0</v>
      </c>
      <c r="T44" s="80">
        <f t="shared" ca="1" si="64"/>
        <v>0</v>
      </c>
      <c r="U44" s="79">
        <f t="shared" ca="1" si="65"/>
        <v>0</v>
      </c>
      <c r="V44" s="80">
        <f t="shared" ca="1" si="66"/>
        <v>0</v>
      </c>
      <c r="W44" s="79">
        <f t="shared" ca="1" si="67"/>
        <v>0</v>
      </c>
      <c r="X44" s="80">
        <f t="shared" ca="1" si="68"/>
        <v>0</v>
      </c>
      <c r="Y44" s="79">
        <f t="shared" ca="1" si="69"/>
        <v>0</v>
      </c>
      <c r="Z44" s="80">
        <f t="shared" ca="1" si="70"/>
        <v>0</v>
      </c>
      <c r="AA44" s="48"/>
      <c r="AB44" s="50">
        <f t="shared" ca="1" si="71"/>
        <v>0</v>
      </c>
      <c r="AC44" s="50">
        <f t="shared" ca="1" si="72"/>
        <v>0</v>
      </c>
      <c r="AD44" s="39">
        <f t="shared" ca="1" si="43"/>
        <v>0</v>
      </c>
    </row>
    <row r="45" spans="2:30" ht="18.5" x14ac:dyDescent="0.45">
      <c r="B45" s="81" t="s">
        <v>54</v>
      </c>
      <c r="C45" s="88">
        <f ca="1">SUM(C46:C51)</f>
        <v>8500</v>
      </c>
      <c r="D45" s="89">
        <f t="shared" ref="D45:J45" ca="1" si="81">SUM(D46:D51)</f>
        <v>7.0247933884297522</v>
      </c>
      <c r="E45" s="90">
        <f t="shared" ca="1" si="81"/>
        <v>0</v>
      </c>
      <c r="F45" s="89">
        <f t="shared" ca="1" si="81"/>
        <v>0</v>
      </c>
      <c r="G45" s="90">
        <f t="shared" ca="1" si="81"/>
        <v>0</v>
      </c>
      <c r="H45" s="89">
        <f t="shared" ca="1" si="81"/>
        <v>0</v>
      </c>
      <c r="I45" s="90">
        <f t="shared" ca="1" si="81"/>
        <v>0</v>
      </c>
      <c r="J45" s="89">
        <f t="shared" ca="1" si="81"/>
        <v>0</v>
      </c>
      <c r="K45" s="90">
        <f t="shared" ref="K45" ca="1" si="82">SUM(K46:K51)</f>
        <v>18000</v>
      </c>
      <c r="L45" s="89">
        <f t="shared" ref="L45" ca="1" si="83">SUM(L46:L51)</f>
        <v>15.384615384615385</v>
      </c>
      <c r="M45" s="90">
        <f t="shared" ref="M45" ca="1" si="84">SUM(M46:M51)</f>
        <v>0</v>
      </c>
      <c r="N45" s="89">
        <f t="shared" ref="N45" ca="1" si="85">SUM(N46:N51)</f>
        <v>0</v>
      </c>
      <c r="O45" s="90">
        <f t="shared" ref="O45" ca="1" si="86">SUM(O46:O51)</f>
        <v>0</v>
      </c>
      <c r="P45" s="89">
        <f t="shared" ref="P45" ca="1" si="87">SUM(P46:P51)</f>
        <v>0</v>
      </c>
      <c r="Q45" s="90">
        <f t="shared" ref="Q45" ca="1" si="88">SUM(Q46:Q51)</f>
        <v>0</v>
      </c>
      <c r="R45" s="89">
        <f t="shared" ref="R45" ca="1" si="89">SUM(R46:R51)</f>
        <v>0</v>
      </c>
      <c r="S45" s="90">
        <f t="shared" ref="S45" ca="1" si="90">SUM(S46:S51)</f>
        <v>0</v>
      </c>
      <c r="T45" s="89">
        <f t="shared" ref="T45" ca="1" si="91">SUM(T46:T51)</f>
        <v>0</v>
      </c>
      <c r="U45" s="90">
        <f t="shared" ref="U45" ca="1" si="92">SUM(U46:U51)</f>
        <v>0</v>
      </c>
      <c r="V45" s="89">
        <f t="shared" ref="V45" ca="1" si="93">SUM(V46:V51)</f>
        <v>0</v>
      </c>
      <c r="W45" s="90">
        <f t="shared" ref="W45" ca="1" si="94">SUM(W46:W51)</f>
        <v>0</v>
      </c>
      <c r="X45" s="89">
        <f t="shared" ref="X45" ca="1" si="95">SUM(X46:X51)</f>
        <v>0</v>
      </c>
      <c r="Y45" s="90">
        <f t="shared" ref="Y45" ca="1" si="96">SUM(Y46:Y51)</f>
        <v>0</v>
      </c>
      <c r="Z45" s="89">
        <f t="shared" ref="Z45" ca="1" si="97">SUM(Z46:Z51)</f>
        <v>0</v>
      </c>
      <c r="AA45" s="48"/>
      <c r="AB45" s="49">
        <f ca="1">SUM(C45,E45,G45,I45,K45,M45,O45,Q45,S45,U45,W45,Y45)</f>
        <v>26500</v>
      </c>
      <c r="AC45" s="49">
        <f ca="1">SUM(D45,F45,H45,L45,N45,P45,R45,T45,V45,X45,Z45)</f>
        <v>22.409408773045136</v>
      </c>
      <c r="AD45" s="38">
        <f t="shared" ca="1" si="43"/>
        <v>9.6938045395391628E-4</v>
      </c>
    </row>
    <row r="46" spans="2:30" ht="19" thickBot="1" x14ac:dyDescent="0.4">
      <c r="B46" s="82" t="s">
        <v>57</v>
      </c>
      <c r="C46" s="86">
        <f t="shared" ref="C46:C51" ca="1" si="98">SUMIF(INDIRECT(C$5&amp;"[SUBCATEGORÍA]"),$B46,INDIRECT(C$5&amp;"[ARS]"))</f>
        <v>0</v>
      </c>
      <c r="D46" s="87">
        <f ca="1">SUMIF(INDIRECT(C$5&amp;"[SUBCATEGORÍA]"),$B46,INDIRECT(C$5&amp;"[USD]"))</f>
        <v>0</v>
      </c>
      <c r="E46" s="86">
        <f ca="1">SUMIF(INDIRECT(E$5&amp;"[SUBCATEGORÍA]"),$B46,INDIRECT(E$5&amp;"[ARS]"))</f>
        <v>0</v>
      </c>
      <c r="F46" s="87">
        <f ca="1">SUMIF(INDIRECT(E$5&amp;"[SUBCATEGORÍA]"),$B46,INDIRECT(E$5&amp;"[USD]"))</f>
        <v>0</v>
      </c>
      <c r="G46" s="86">
        <f ca="1">SUMIF(INDIRECT(G$5&amp;"[SUBCATEGORÍA]"),$B46,INDIRECT(G$5&amp;"[ARS]"))</f>
        <v>0</v>
      </c>
      <c r="H46" s="87">
        <f ca="1">SUMIF(INDIRECT(G$5&amp;"[SUBCATEGORÍA]"),$B46,INDIRECT(G$5&amp;"[USD]"))</f>
        <v>0</v>
      </c>
      <c r="I46" s="86">
        <f ca="1">SUMIF(INDIRECT(I$5&amp;"[SUBCATEGORÍA]"),$B46,INDIRECT(I$5&amp;"[ARS]"))</f>
        <v>0</v>
      </c>
      <c r="J46" s="87">
        <f ca="1">SUMIF(INDIRECT(I$5&amp;"[SUBCATEGORÍA]"),$B46,INDIRECT(I$5&amp;"[USD]"))</f>
        <v>0</v>
      </c>
      <c r="K46" s="86">
        <f t="shared" ref="K46:K51" ca="1" si="99">SUMIF(INDIRECT(K$5&amp;"[SUBCATEGORÍA]"),$B46,INDIRECT(K$5&amp;"[ARS]"))</f>
        <v>0</v>
      </c>
      <c r="L46" s="87">
        <f t="shared" ref="L46:L51" ca="1" si="100">SUMIF(INDIRECT(K$5&amp;"[SUBCATEGORÍA]"),$B46,INDIRECT(K$5&amp;"[USD]"))</f>
        <v>0</v>
      </c>
      <c r="M46" s="86">
        <f t="shared" ref="M46:M51" ca="1" si="101">SUMIF(INDIRECT(M$5&amp;"[SUBCATEGORÍA]"),$B46,INDIRECT(M$5&amp;"[ARS]"))</f>
        <v>0</v>
      </c>
      <c r="N46" s="87">
        <f t="shared" ref="N46:N51" ca="1" si="102">SUMIF(INDIRECT(M$5&amp;"[SUBCATEGORÍA]"),$B46,INDIRECT(M$5&amp;"[USD]"))</f>
        <v>0</v>
      </c>
      <c r="O46" s="86">
        <f t="shared" ref="O46:O51" ca="1" si="103">SUMIF(INDIRECT(O$5&amp;"[SUBCATEGORÍA]"),$B46,INDIRECT(O$5&amp;"[ARS]"))</f>
        <v>0</v>
      </c>
      <c r="P46" s="87">
        <f t="shared" ref="P46:P51" ca="1" si="104">SUMIF(INDIRECT(O$5&amp;"[SUBCATEGORÍA]"),$B46,INDIRECT(O$5&amp;"[USD]"))</f>
        <v>0</v>
      </c>
      <c r="Q46" s="86">
        <f t="shared" ref="Q46:Q51" ca="1" si="105">SUMIF(INDIRECT(Q$5&amp;"[SUBCATEGORÍA]"),$B46,INDIRECT(Q$5&amp;"[ARS]"))</f>
        <v>0</v>
      </c>
      <c r="R46" s="87">
        <f t="shared" ref="R46:R51" ca="1" si="106">SUMIF(INDIRECT(Q$5&amp;"[SUBCATEGORÍA]"),$B46,INDIRECT(Q$5&amp;"[USD]"))</f>
        <v>0</v>
      </c>
      <c r="S46" s="86">
        <f t="shared" ref="S46:S51" ca="1" si="107">SUMIF(INDIRECT(S$5&amp;"[SUBCATEGORÍA]"),$B46,INDIRECT(S$5&amp;"[ARS]"))</f>
        <v>0</v>
      </c>
      <c r="T46" s="87">
        <f t="shared" ref="T46:T51" ca="1" si="108">SUMIF(INDIRECT(S$5&amp;"[SUBCATEGORÍA]"),$B46,INDIRECT(S$5&amp;"[USD]"))</f>
        <v>0</v>
      </c>
      <c r="U46" s="86">
        <f t="shared" ref="U46:U51" ca="1" si="109">SUMIF(INDIRECT(U$5&amp;"[SUBCATEGORÍA]"),$B46,INDIRECT(U$5&amp;"[ARS]"))</f>
        <v>0</v>
      </c>
      <c r="V46" s="87">
        <f t="shared" ref="V46:V51" ca="1" si="110">SUMIF(INDIRECT(U$5&amp;"[SUBCATEGORÍA]"),$B46,INDIRECT(U$5&amp;"[USD]"))</f>
        <v>0</v>
      </c>
      <c r="W46" s="86">
        <f t="shared" ref="W46:W51" ca="1" si="111">SUMIF(INDIRECT(W$5&amp;"[SUBCATEGORÍA]"),$B46,INDIRECT(W$5&amp;"[ARS]"))</f>
        <v>0</v>
      </c>
      <c r="X46" s="87">
        <f t="shared" ref="X46:X51" ca="1" si="112">SUMIF(INDIRECT(W$5&amp;"[SUBCATEGORÍA]"),$B46,INDIRECT(W$5&amp;"[USD]"))</f>
        <v>0</v>
      </c>
      <c r="Y46" s="86">
        <f t="shared" ref="Y46:Y51" ca="1" si="113">SUMIF(INDIRECT(Y$5&amp;"[SUBCATEGORÍA]"),$B46,INDIRECT(Y$5&amp;"[ARS]"))</f>
        <v>0</v>
      </c>
      <c r="Z46" s="87">
        <f t="shared" ref="Z46:Z51" ca="1" si="114">SUMIF(INDIRECT(Y$5&amp;"[SUBCATEGORÍA]"),$B46,INDIRECT(Y$5&amp;"[USD]"))</f>
        <v>0</v>
      </c>
      <c r="AA46" s="48"/>
      <c r="AB46" s="50">
        <f ca="1">SUM(C46,E46,G46,I46,K46,M46,O46,Q46,S46,U46,W46,Y46)</f>
        <v>0</v>
      </c>
      <c r="AC46" s="50">
        <f ca="1">SUM(D46,F46,H46,L46,N46,P46,R46,T46,V46,X46,Z46)</f>
        <v>0</v>
      </c>
      <c r="AD46" s="39">
        <f t="shared" ca="1" si="43"/>
        <v>0</v>
      </c>
    </row>
    <row r="47" spans="2:30" ht="19" thickBot="1" x14ac:dyDescent="0.4">
      <c r="B47" s="82" t="s">
        <v>28</v>
      </c>
      <c r="C47" s="79">
        <f t="shared" ca="1" si="98"/>
        <v>0</v>
      </c>
      <c r="D47" s="87">
        <f t="shared" ref="D47:D51" ca="1" si="115">SUMIF(INDIRECT(C$5&amp;"[SUBCATEGORÍA]"),$B47,INDIRECT(C$5&amp;"[USD]"))</f>
        <v>0</v>
      </c>
      <c r="E47" s="86">
        <f t="shared" ref="E47:E51" ca="1" si="116">SUMIF(INDIRECT(E$5&amp;"[SUBCATEGORÍA]"),$B47,INDIRECT(E$5&amp;"[ARS]"))</f>
        <v>0</v>
      </c>
      <c r="F47" s="87">
        <f t="shared" ref="F47:F51" ca="1" si="117">SUMIF(INDIRECT(E$5&amp;"[SUBCATEGORÍA]"),$B47,INDIRECT(E$5&amp;"[USD]"))</f>
        <v>0</v>
      </c>
      <c r="G47" s="86">
        <f t="shared" ref="G47:G51" ca="1" si="118">SUMIF(INDIRECT(G$5&amp;"[SUBCATEGORÍA]"),$B47,INDIRECT(G$5&amp;"[ARS]"))</f>
        <v>0</v>
      </c>
      <c r="H47" s="87">
        <f t="shared" ref="H47:H51" ca="1" si="119">SUMIF(INDIRECT(G$5&amp;"[SUBCATEGORÍA]"),$B47,INDIRECT(G$5&amp;"[USD]"))</f>
        <v>0</v>
      </c>
      <c r="I47" s="86">
        <f t="shared" ref="I47:I51" ca="1" si="120">SUMIF(INDIRECT(I$5&amp;"[SUBCATEGORÍA]"),$B47,INDIRECT(I$5&amp;"[ARS]"))</f>
        <v>0</v>
      </c>
      <c r="J47" s="87">
        <f t="shared" ref="J47:J51" ca="1" si="121">SUMIF(INDIRECT(I$5&amp;"[SUBCATEGORÍA]"),$B47,INDIRECT(I$5&amp;"[USD]"))</f>
        <v>0</v>
      </c>
      <c r="K47" s="79">
        <f t="shared" ca="1" si="99"/>
        <v>18000</v>
      </c>
      <c r="L47" s="80">
        <f t="shared" ca="1" si="100"/>
        <v>15.384615384615385</v>
      </c>
      <c r="M47" s="79">
        <f t="shared" ca="1" si="101"/>
        <v>0</v>
      </c>
      <c r="N47" s="80">
        <f t="shared" ca="1" si="102"/>
        <v>0</v>
      </c>
      <c r="O47" s="79">
        <f t="shared" ca="1" si="103"/>
        <v>0</v>
      </c>
      <c r="P47" s="80">
        <f t="shared" ca="1" si="104"/>
        <v>0</v>
      </c>
      <c r="Q47" s="79">
        <f t="shared" ca="1" si="105"/>
        <v>0</v>
      </c>
      <c r="R47" s="80">
        <f t="shared" ca="1" si="106"/>
        <v>0</v>
      </c>
      <c r="S47" s="79">
        <f t="shared" ca="1" si="107"/>
        <v>0</v>
      </c>
      <c r="T47" s="80">
        <f t="shared" ca="1" si="108"/>
        <v>0</v>
      </c>
      <c r="U47" s="79">
        <f t="shared" ca="1" si="109"/>
        <v>0</v>
      </c>
      <c r="V47" s="80">
        <f t="shared" ca="1" si="110"/>
        <v>0</v>
      </c>
      <c r="W47" s="79">
        <f t="shared" ca="1" si="111"/>
        <v>0</v>
      </c>
      <c r="X47" s="80">
        <f t="shared" ca="1" si="112"/>
        <v>0</v>
      </c>
      <c r="Y47" s="79">
        <f t="shared" ca="1" si="113"/>
        <v>0</v>
      </c>
      <c r="Z47" s="80">
        <f t="shared" ca="1" si="114"/>
        <v>0</v>
      </c>
      <c r="AA47" s="48"/>
      <c r="AB47" s="50">
        <f t="shared" ref="AB47:AB51" ca="1" si="122">SUM(C47,E47,G47,I47,K47,M47,O47,Q47,S47,U47,W47,Y47)</f>
        <v>18000</v>
      </c>
      <c r="AC47" s="50">
        <f t="shared" ref="AC47:AC51" ca="1" si="123">SUM(D47,F47,H47,L47,N47,P47,R47,T47,V47,X47,Z47)</f>
        <v>15.384615384615385</v>
      </c>
      <c r="AD47" s="39">
        <f t="shared" ca="1" si="43"/>
        <v>6.5844710079888654E-4</v>
      </c>
    </row>
    <row r="48" spans="2:30" ht="19" thickBot="1" x14ac:dyDescent="0.4">
      <c r="B48" s="82" t="s">
        <v>9</v>
      </c>
      <c r="C48" s="79">
        <f t="shared" ca="1" si="98"/>
        <v>0</v>
      </c>
      <c r="D48" s="87">
        <f t="shared" ca="1" si="115"/>
        <v>0</v>
      </c>
      <c r="E48" s="86">
        <f t="shared" ca="1" si="116"/>
        <v>0</v>
      </c>
      <c r="F48" s="87">
        <f t="shared" ca="1" si="117"/>
        <v>0</v>
      </c>
      <c r="G48" s="86">
        <f t="shared" ca="1" si="118"/>
        <v>0</v>
      </c>
      <c r="H48" s="87">
        <f t="shared" ca="1" si="119"/>
        <v>0</v>
      </c>
      <c r="I48" s="86">
        <f t="shared" ca="1" si="120"/>
        <v>0</v>
      </c>
      <c r="J48" s="87">
        <f t="shared" ca="1" si="121"/>
        <v>0</v>
      </c>
      <c r="K48" s="79">
        <f t="shared" ca="1" si="99"/>
        <v>0</v>
      </c>
      <c r="L48" s="80">
        <f t="shared" ca="1" si="100"/>
        <v>0</v>
      </c>
      <c r="M48" s="79">
        <f t="shared" ca="1" si="101"/>
        <v>0</v>
      </c>
      <c r="N48" s="80">
        <f t="shared" ca="1" si="102"/>
        <v>0</v>
      </c>
      <c r="O48" s="79">
        <f t="shared" ca="1" si="103"/>
        <v>0</v>
      </c>
      <c r="P48" s="80">
        <f t="shared" ca="1" si="104"/>
        <v>0</v>
      </c>
      <c r="Q48" s="79">
        <f t="shared" ca="1" si="105"/>
        <v>0</v>
      </c>
      <c r="R48" s="80">
        <f t="shared" ca="1" si="106"/>
        <v>0</v>
      </c>
      <c r="S48" s="79">
        <f t="shared" ca="1" si="107"/>
        <v>0</v>
      </c>
      <c r="T48" s="80">
        <f t="shared" ca="1" si="108"/>
        <v>0</v>
      </c>
      <c r="U48" s="79">
        <f t="shared" ca="1" si="109"/>
        <v>0</v>
      </c>
      <c r="V48" s="80">
        <f t="shared" ca="1" si="110"/>
        <v>0</v>
      </c>
      <c r="W48" s="79">
        <f t="shared" ca="1" si="111"/>
        <v>0</v>
      </c>
      <c r="X48" s="80">
        <f t="shared" ca="1" si="112"/>
        <v>0</v>
      </c>
      <c r="Y48" s="79">
        <f t="shared" ca="1" si="113"/>
        <v>0</v>
      </c>
      <c r="Z48" s="80">
        <f t="shared" ca="1" si="114"/>
        <v>0</v>
      </c>
      <c r="AA48" s="48"/>
      <c r="AB48" s="50">
        <f t="shared" ca="1" si="122"/>
        <v>0</v>
      </c>
      <c r="AC48" s="50">
        <f t="shared" ca="1" si="123"/>
        <v>0</v>
      </c>
      <c r="AD48" s="39">
        <f t="shared" ca="1" si="43"/>
        <v>0</v>
      </c>
    </row>
    <row r="49" spans="2:30" ht="19" thickBot="1" x14ac:dyDescent="0.4">
      <c r="B49" s="82" t="s">
        <v>5</v>
      </c>
      <c r="C49" s="79">
        <f t="shared" ca="1" si="98"/>
        <v>0</v>
      </c>
      <c r="D49" s="87">
        <f t="shared" ca="1" si="115"/>
        <v>0</v>
      </c>
      <c r="E49" s="86">
        <f t="shared" ca="1" si="116"/>
        <v>0</v>
      </c>
      <c r="F49" s="87">
        <f t="shared" ca="1" si="117"/>
        <v>0</v>
      </c>
      <c r="G49" s="86">
        <f t="shared" ca="1" si="118"/>
        <v>0</v>
      </c>
      <c r="H49" s="87">
        <f t="shared" ca="1" si="119"/>
        <v>0</v>
      </c>
      <c r="I49" s="86">
        <f t="shared" ca="1" si="120"/>
        <v>0</v>
      </c>
      <c r="J49" s="87">
        <f t="shared" ca="1" si="121"/>
        <v>0</v>
      </c>
      <c r="K49" s="79">
        <f t="shared" ca="1" si="99"/>
        <v>0</v>
      </c>
      <c r="L49" s="80">
        <f t="shared" ca="1" si="100"/>
        <v>0</v>
      </c>
      <c r="M49" s="79">
        <f t="shared" ca="1" si="101"/>
        <v>0</v>
      </c>
      <c r="N49" s="80">
        <f t="shared" ca="1" si="102"/>
        <v>0</v>
      </c>
      <c r="O49" s="79">
        <f t="shared" ca="1" si="103"/>
        <v>0</v>
      </c>
      <c r="P49" s="80">
        <f t="shared" ca="1" si="104"/>
        <v>0</v>
      </c>
      <c r="Q49" s="79">
        <f t="shared" ca="1" si="105"/>
        <v>0</v>
      </c>
      <c r="R49" s="80">
        <f t="shared" ca="1" si="106"/>
        <v>0</v>
      </c>
      <c r="S49" s="79">
        <f t="shared" ca="1" si="107"/>
        <v>0</v>
      </c>
      <c r="T49" s="80">
        <f t="shared" ca="1" si="108"/>
        <v>0</v>
      </c>
      <c r="U49" s="79">
        <f t="shared" ca="1" si="109"/>
        <v>0</v>
      </c>
      <c r="V49" s="80">
        <f t="shared" ca="1" si="110"/>
        <v>0</v>
      </c>
      <c r="W49" s="79">
        <f t="shared" ca="1" si="111"/>
        <v>0</v>
      </c>
      <c r="X49" s="80">
        <f t="shared" ca="1" si="112"/>
        <v>0</v>
      </c>
      <c r="Y49" s="79">
        <f t="shared" ca="1" si="113"/>
        <v>0</v>
      </c>
      <c r="Z49" s="80">
        <f t="shared" ca="1" si="114"/>
        <v>0</v>
      </c>
      <c r="AA49" s="48"/>
      <c r="AB49" s="50">
        <f t="shared" ca="1" si="122"/>
        <v>0</v>
      </c>
      <c r="AC49" s="50">
        <f t="shared" ca="1" si="123"/>
        <v>0</v>
      </c>
      <c r="AD49" s="39">
        <f t="shared" ca="1" si="43"/>
        <v>0</v>
      </c>
    </row>
    <row r="50" spans="2:30" ht="19" thickBot="1" x14ac:dyDescent="0.4">
      <c r="B50" s="82" t="s">
        <v>12</v>
      </c>
      <c r="C50" s="79">
        <f t="shared" ca="1" si="98"/>
        <v>8500</v>
      </c>
      <c r="D50" s="87">
        <f t="shared" ca="1" si="115"/>
        <v>7.0247933884297522</v>
      </c>
      <c r="E50" s="86">
        <f t="shared" ca="1" si="116"/>
        <v>0</v>
      </c>
      <c r="F50" s="87">
        <f t="shared" ca="1" si="117"/>
        <v>0</v>
      </c>
      <c r="G50" s="86">
        <f t="shared" ca="1" si="118"/>
        <v>0</v>
      </c>
      <c r="H50" s="87">
        <f t="shared" ca="1" si="119"/>
        <v>0</v>
      </c>
      <c r="I50" s="86">
        <f t="shared" ca="1" si="120"/>
        <v>0</v>
      </c>
      <c r="J50" s="87">
        <f t="shared" ca="1" si="121"/>
        <v>0</v>
      </c>
      <c r="K50" s="79">
        <f t="shared" ca="1" si="99"/>
        <v>0</v>
      </c>
      <c r="L50" s="80">
        <f t="shared" ca="1" si="100"/>
        <v>0</v>
      </c>
      <c r="M50" s="79">
        <f t="shared" ca="1" si="101"/>
        <v>0</v>
      </c>
      <c r="N50" s="80">
        <f t="shared" ca="1" si="102"/>
        <v>0</v>
      </c>
      <c r="O50" s="79">
        <f t="shared" ca="1" si="103"/>
        <v>0</v>
      </c>
      <c r="P50" s="80">
        <f t="shared" ca="1" si="104"/>
        <v>0</v>
      </c>
      <c r="Q50" s="79">
        <f t="shared" ca="1" si="105"/>
        <v>0</v>
      </c>
      <c r="R50" s="80">
        <f t="shared" ca="1" si="106"/>
        <v>0</v>
      </c>
      <c r="S50" s="79">
        <f t="shared" ca="1" si="107"/>
        <v>0</v>
      </c>
      <c r="T50" s="80">
        <f t="shared" ca="1" si="108"/>
        <v>0</v>
      </c>
      <c r="U50" s="79">
        <f t="shared" ca="1" si="109"/>
        <v>0</v>
      </c>
      <c r="V50" s="80">
        <f t="shared" ca="1" si="110"/>
        <v>0</v>
      </c>
      <c r="W50" s="79">
        <f t="shared" ca="1" si="111"/>
        <v>0</v>
      </c>
      <c r="X50" s="80">
        <f t="shared" ca="1" si="112"/>
        <v>0</v>
      </c>
      <c r="Y50" s="79">
        <f t="shared" ca="1" si="113"/>
        <v>0</v>
      </c>
      <c r="Z50" s="80">
        <f t="shared" ca="1" si="114"/>
        <v>0</v>
      </c>
      <c r="AA50" s="48"/>
      <c r="AB50" s="50">
        <f t="shared" ca="1" si="122"/>
        <v>8500</v>
      </c>
      <c r="AC50" s="50">
        <f t="shared" ca="1" si="123"/>
        <v>7.0247933884297522</v>
      </c>
      <c r="AD50" s="39">
        <f t="shared" ca="1" si="43"/>
        <v>3.1093335315502974E-4</v>
      </c>
    </row>
    <row r="51" spans="2:30" ht="19" thickBot="1" x14ac:dyDescent="0.4">
      <c r="B51" s="82" t="s">
        <v>30</v>
      </c>
      <c r="C51" s="91">
        <f t="shared" ca="1" si="98"/>
        <v>0</v>
      </c>
      <c r="D51" s="87">
        <f t="shared" ca="1" si="115"/>
        <v>0</v>
      </c>
      <c r="E51" s="86">
        <f t="shared" ca="1" si="116"/>
        <v>0</v>
      </c>
      <c r="F51" s="87">
        <f t="shared" ca="1" si="117"/>
        <v>0</v>
      </c>
      <c r="G51" s="86">
        <f t="shared" ca="1" si="118"/>
        <v>0</v>
      </c>
      <c r="H51" s="87">
        <f t="shared" ca="1" si="119"/>
        <v>0</v>
      </c>
      <c r="I51" s="86">
        <f t="shared" ca="1" si="120"/>
        <v>0</v>
      </c>
      <c r="J51" s="87">
        <f t="shared" ca="1" si="121"/>
        <v>0</v>
      </c>
      <c r="K51" s="91">
        <f t="shared" ca="1" si="99"/>
        <v>0</v>
      </c>
      <c r="L51" s="92">
        <f t="shared" ca="1" si="100"/>
        <v>0</v>
      </c>
      <c r="M51" s="91">
        <f t="shared" ca="1" si="101"/>
        <v>0</v>
      </c>
      <c r="N51" s="92">
        <f t="shared" ca="1" si="102"/>
        <v>0</v>
      </c>
      <c r="O51" s="91">
        <f t="shared" ca="1" si="103"/>
        <v>0</v>
      </c>
      <c r="P51" s="92">
        <f t="shared" ca="1" si="104"/>
        <v>0</v>
      </c>
      <c r="Q51" s="91">
        <f t="shared" ca="1" si="105"/>
        <v>0</v>
      </c>
      <c r="R51" s="92">
        <f t="shared" ca="1" si="106"/>
        <v>0</v>
      </c>
      <c r="S51" s="91">
        <f t="shared" ca="1" si="107"/>
        <v>0</v>
      </c>
      <c r="T51" s="92">
        <f t="shared" ca="1" si="108"/>
        <v>0</v>
      </c>
      <c r="U51" s="91">
        <f t="shared" ca="1" si="109"/>
        <v>0</v>
      </c>
      <c r="V51" s="92">
        <f t="shared" ca="1" si="110"/>
        <v>0</v>
      </c>
      <c r="W51" s="91">
        <f t="shared" ca="1" si="111"/>
        <v>0</v>
      </c>
      <c r="X51" s="92">
        <f t="shared" ca="1" si="112"/>
        <v>0</v>
      </c>
      <c r="Y51" s="91">
        <f t="shared" ca="1" si="113"/>
        <v>0</v>
      </c>
      <c r="Z51" s="92">
        <f t="shared" ca="1" si="114"/>
        <v>0</v>
      </c>
      <c r="AA51" s="48"/>
      <c r="AB51" s="50">
        <f t="shared" ca="1" si="122"/>
        <v>0</v>
      </c>
      <c r="AC51" s="50">
        <f t="shared" ca="1" si="123"/>
        <v>0</v>
      </c>
      <c r="AD51" s="39">
        <f t="shared" ca="1" si="43"/>
        <v>0</v>
      </c>
    </row>
    <row r="52" spans="2:30" ht="18.5" x14ac:dyDescent="0.45">
      <c r="B52" s="81" t="s">
        <v>55</v>
      </c>
      <c r="C52" s="88">
        <f ca="1">SUM(C53:C57)</f>
        <v>0</v>
      </c>
      <c r="D52" s="89">
        <f t="shared" ref="D52:K52" ca="1" si="124">SUM(D53:D57)</f>
        <v>0</v>
      </c>
      <c r="E52" s="90">
        <f t="shared" ca="1" si="124"/>
        <v>0</v>
      </c>
      <c r="F52" s="89">
        <f t="shared" ca="1" si="124"/>
        <v>0</v>
      </c>
      <c r="G52" s="90">
        <f t="shared" ca="1" si="124"/>
        <v>0</v>
      </c>
      <c r="H52" s="89">
        <f t="shared" ca="1" si="124"/>
        <v>0</v>
      </c>
      <c r="I52" s="90">
        <f t="shared" ca="1" si="124"/>
        <v>0</v>
      </c>
      <c r="J52" s="89">
        <f t="shared" ca="1" si="124"/>
        <v>0</v>
      </c>
      <c r="K52" s="90">
        <f t="shared" ca="1" si="124"/>
        <v>0</v>
      </c>
      <c r="L52" s="89">
        <f t="shared" ref="L52" ca="1" si="125">SUM(L53:L57)</f>
        <v>0</v>
      </c>
      <c r="M52" s="90">
        <f t="shared" ref="M52" ca="1" si="126">SUM(M53:M57)</f>
        <v>0</v>
      </c>
      <c r="N52" s="89">
        <f t="shared" ref="N52" ca="1" si="127">SUM(N53:N57)</f>
        <v>0</v>
      </c>
      <c r="O52" s="90">
        <f t="shared" ref="O52" ca="1" si="128">SUM(O53:O57)</f>
        <v>0</v>
      </c>
      <c r="P52" s="89">
        <f t="shared" ref="P52" ca="1" si="129">SUM(P53:P57)</f>
        <v>0</v>
      </c>
      <c r="Q52" s="90">
        <f t="shared" ref="Q52" ca="1" si="130">SUM(Q53:Q57)</f>
        <v>0</v>
      </c>
      <c r="R52" s="89">
        <f t="shared" ref="R52" ca="1" si="131">SUM(R53:R57)</f>
        <v>0</v>
      </c>
      <c r="S52" s="90">
        <f t="shared" ref="S52" ca="1" si="132">SUM(S53:S57)</f>
        <v>0</v>
      </c>
      <c r="T52" s="89">
        <f t="shared" ref="T52" ca="1" si="133">SUM(T53:T57)</f>
        <v>0</v>
      </c>
      <c r="U52" s="90">
        <f t="shared" ref="U52" ca="1" si="134">SUM(U53:U57)</f>
        <v>0</v>
      </c>
      <c r="V52" s="89">
        <f t="shared" ref="V52" ca="1" si="135">SUM(V53:V57)</f>
        <v>0</v>
      </c>
      <c r="W52" s="90">
        <f t="shared" ref="W52" ca="1" si="136">SUM(W53:W57)</f>
        <v>0</v>
      </c>
      <c r="X52" s="89">
        <f t="shared" ref="X52" ca="1" si="137">SUM(X53:X57)</f>
        <v>0</v>
      </c>
      <c r="Y52" s="90">
        <f t="shared" ref="Y52" ca="1" si="138">SUM(Y53:Y57)</f>
        <v>0</v>
      </c>
      <c r="Z52" s="89">
        <f t="shared" ref="Z52" ca="1" si="139">SUM(Z53:Z57)</f>
        <v>0</v>
      </c>
      <c r="AA52" s="48">
        <f t="shared" ref="AA52" si="140">SUM(AA53:AA57)</f>
        <v>0</v>
      </c>
      <c r="AB52" s="49">
        <f ca="1">SUM(C52,E52,G52,I52,K52,M52,O52,Q52,S52,U52,W52,Y52)</f>
        <v>0</v>
      </c>
      <c r="AC52" s="49">
        <f ca="1">SUM(D52,F52,H52,L52,N52,P52,R52,T52,V52,X52,Z52)</f>
        <v>0</v>
      </c>
      <c r="AD52" s="38">
        <f t="shared" ca="1" si="43"/>
        <v>0</v>
      </c>
    </row>
    <row r="53" spans="2:30" ht="19" thickBot="1" x14ac:dyDescent="0.4">
      <c r="B53" s="82" t="s">
        <v>27</v>
      </c>
      <c r="C53" s="86">
        <f ca="1">SUMIF(INDIRECT(C$5&amp;"[SUBCATEGORÍA]"),$B53,INDIRECT(C$5&amp;"[ARS]"))</f>
        <v>0</v>
      </c>
      <c r="D53" s="86">
        <f ca="1">SUMIF(INDIRECT(C$5&amp;"[SUBCATEGORÍA]"),$B53,INDIRECT(C$5&amp;"[USD]"))</f>
        <v>0</v>
      </c>
      <c r="E53" s="86">
        <f ca="1">SUMIF(INDIRECT(E$5&amp;"[SUBCATEGORÍA]"),$B53,INDIRECT(E$5&amp;"[ARS]"))</f>
        <v>0</v>
      </c>
      <c r="F53" s="87">
        <f ca="1">SUMIF(INDIRECT(E$5&amp;"[SUBCATEGORÍA]"),$B53,INDIRECT(E$5&amp;"[USD]"))</f>
        <v>0</v>
      </c>
      <c r="G53" s="86">
        <f ca="1">SUMIF(INDIRECT(G$5&amp;"[SUBCATEGORÍA]"),$B53,INDIRECT(G$5&amp;"[ARS]"))</f>
        <v>0</v>
      </c>
      <c r="H53" s="87">
        <f ca="1">SUMIF(INDIRECT(G$5&amp;"[SUBCATEGORÍA]"),$B53,INDIRECT(G$5&amp;"[USD]"))</f>
        <v>0</v>
      </c>
      <c r="I53" s="86">
        <f ca="1">SUMIF(INDIRECT(I$5&amp;"[SUBCATEGORÍA]"),$B53,INDIRECT(I$5&amp;"[ARS]"))</f>
        <v>0</v>
      </c>
      <c r="J53" s="87">
        <f ca="1">SUMIF(INDIRECT(I$5&amp;"[SUBCATEGORÍA]"),$B53,INDIRECT(I$5&amp;"[USD]"))</f>
        <v>0</v>
      </c>
      <c r="K53" s="86">
        <f ca="1">SUMIF(INDIRECT(K$5&amp;"[SUBCATEGORÍA]"),$B53,INDIRECT(K$5&amp;"[ARS]"))</f>
        <v>0</v>
      </c>
      <c r="L53" s="87">
        <f ca="1">SUMIF(INDIRECT(K$5&amp;"[SUBCATEGORÍA]"),$B53,INDIRECT(K$5&amp;"[USD]"))</f>
        <v>0</v>
      </c>
      <c r="M53" s="86">
        <f ca="1">SUMIF(INDIRECT(M$5&amp;"[SUBCATEGORÍA]"),$B53,INDIRECT(M$5&amp;"[ARS]"))</f>
        <v>0</v>
      </c>
      <c r="N53" s="87">
        <f ca="1">SUMIF(INDIRECT(M$5&amp;"[SUBCATEGORÍA]"),$B53,INDIRECT(M$5&amp;"[USD]"))</f>
        <v>0</v>
      </c>
      <c r="O53" s="86">
        <f ca="1">SUMIF(INDIRECT(O$5&amp;"[SUBCATEGORÍA]"),$B53,INDIRECT(O$5&amp;"[ARS]"))</f>
        <v>0</v>
      </c>
      <c r="P53" s="87">
        <f ca="1">SUMIF(INDIRECT(O$5&amp;"[SUBCATEGORÍA]"),$B53,INDIRECT(O$5&amp;"[USD]"))</f>
        <v>0</v>
      </c>
      <c r="Q53" s="86">
        <f ca="1">SUMIF(INDIRECT(Q$5&amp;"[SUBCATEGORÍA]"),$B53,INDIRECT(Q$5&amp;"[ARS]"))</f>
        <v>0</v>
      </c>
      <c r="R53" s="87">
        <f ca="1">SUMIF(INDIRECT(Q$5&amp;"[SUBCATEGORÍA]"),$B53,INDIRECT(Q$5&amp;"[USD]"))</f>
        <v>0</v>
      </c>
      <c r="S53" s="86">
        <f ca="1">SUMIF(INDIRECT(S$5&amp;"[SUBCATEGORÍA]"),$B53,INDIRECT(S$5&amp;"[ARS]"))</f>
        <v>0</v>
      </c>
      <c r="T53" s="87">
        <f ca="1">SUMIF(INDIRECT(S$5&amp;"[SUBCATEGORÍA]"),$B53,INDIRECT(S$5&amp;"[USD]"))</f>
        <v>0</v>
      </c>
      <c r="U53" s="86">
        <f ca="1">SUMIF(INDIRECT(U$5&amp;"[SUBCATEGORÍA]"),$B53,INDIRECT(U$5&amp;"[ARS]"))</f>
        <v>0</v>
      </c>
      <c r="V53" s="87">
        <f ca="1">SUMIF(INDIRECT(U$5&amp;"[SUBCATEGORÍA]"),$B53,INDIRECT(U$5&amp;"[USD]"))</f>
        <v>0</v>
      </c>
      <c r="W53" s="86">
        <f ca="1">SUMIF(INDIRECT(W$5&amp;"[SUBCATEGORÍA]"),$B53,INDIRECT(W$5&amp;"[ARS]"))</f>
        <v>0</v>
      </c>
      <c r="X53" s="87">
        <f ca="1">SUMIF(INDIRECT(W$5&amp;"[SUBCATEGORÍA]"),$B53,INDIRECT(W$5&amp;"[USD]"))</f>
        <v>0</v>
      </c>
      <c r="Y53" s="86">
        <f ca="1">SUMIF(INDIRECT(Y$5&amp;"[SUBCATEGORÍA]"),$B53,INDIRECT(Y$5&amp;"[ARS]"))</f>
        <v>0</v>
      </c>
      <c r="Z53" s="87">
        <f ca="1">SUMIF(INDIRECT(Y$5&amp;"[SUBCATEGORÍA]"),$B53,INDIRECT(Y$5&amp;"[USD]"))</f>
        <v>0</v>
      </c>
      <c r="AA53" s="48"/>
      <c r="AB53" s="50">
        <f ca="1">SUM(C53,E53,G53,I53,K53,M53,O53,Q53,S53,U53,W53,Y53)</f>
        <v>0</v>
      </c>
      <c r="AC53" s="50">
        <f ca="1">SUM(D53,F53,H53,L53,N53,P53,R53,T53,V53,X53,Z53)</f>
        <v>0</v>
      </c>
      <c r="AD53" s="39">
        <f t="shared" ca="1" si="43"/>
        <v>0</v>
      </c>
    </row>
    <row r="54" spans="2:30" ht="19" thickBot="1" x14ac:dyDescent="0.4">
      <c r="B54" s="82" t="s">
        <v>7</v>
      </c>
      <c r="C54" s="79">
        <f ca="1">SUMIF(INDIRECT(C$5&amp;"[SUBCATEGORÍA]"),$B54,INDIRECT(C$5&amp;"[ARS]"))</f>
        <v>0</v>
      </c>
      <c r="D54" s="86">
        <f t="shared" ref="D54:D57" ca="1" si="141">SUMIF(INDIRECT(C$5&amp;"[SUBCATEGORÍA]"),$B54,INDIRECT(C$5&amp;"[USD]"))</f>
        <v>0</v>
      </c>
      <c r="E54" s="86">
        <f t="shared" ref="E54:E57" ca="1" si="142">SUMIF(INDIRECT(E$5&amp;"[SUBCATEGORÍA]"),$B54,INDIRECT(E$5&amp;"[ARS]"))</f>
        <v>0</v>
      </c>
      <c r="F54" s="87">
        <f t="shared" ref="F54:F57" ca="1" si="143">SUMIF(INDIRECT(E$5&amp;"[SUBCATEGORÍA]"),$B54,INDIRECT(E$5&amp;"[USD]"))</f>
        <v>0</v>
      </c>
      <c r="G54" s="86">
        <f t="shared" ref="G54:G57" ca="1" si="144">SUMIF(INDIRECT(G$5&amp;"[SUBCATEGORÍA]"),$B54,INDIRECT(G$5&amp;"[ARS]"))</f>
        <v>0</v>
      </c>
      <c r="H54" s="87">
        <f t="shared" ref="H54:H57" ca="1" si="145">SUMIF(INDIRECT(G$5&amp;"[SUBCATEGORÍA]"),$B54,INDIRECT(G$5&amp;"[USD]"))</f>
        <v>0</v>
      </c>
      <c r="I54" s="86">
        <f t="shared" ref="I54:I57" ca="1" si="146">SUMIF(INDIRECT(I$5&amp;"[SUBCATEGORÍA]"),$B54,INDIRECT(I$5&amp;"[ARS]"))</f>
        <v>0</v>
      </c>
      <c r="J54" s="87">
        <f t="shared" ref="J54:J57" ca="1" si="147">SUMIF(INDIRECT(I$5&amp;"[SUBCATEGORÍA]"),$B54,INDIRECT(I$5&amp;"[USD]"))</f>
        <v>0</v>
      </c>
      <c r="K54" s="79">
        <f ca="1">SUMIF(INDIRECT(K$5&amp;"[SUBCATEGORÍA]"),$B54,INDIRECT(K$5&amp;"[ARS]"))</f>
        <v>0</v>
      </c>
      <c r="L54" s="80">
        <f ca="1">SUMIF(INDIRECT(K$5&amp;"[SUBCATEGORÍA]"),$B54,INDIRECT(K$5&amp;"[USD]"))</f>
        <v>0</v>
      </c>
      <c r="M54" s="79">
        <f ca="1">SUMIF(INDIRECT(M$5&amp;"[SUBCATEGORÍA]"),$B54,INDIRECT(M$5&amp;"[ARS]"))</f>
        <v>0</v>
      </c>
      <c r="N54" s="80">
        <f ca="1">SUMIF(INDIRECT(M$5&amp;"[SUBCATEGORÍA]"),$B54,INDIRECT(M$5&amp;"[USD]"))</f>
        <v>0</v>
      </c>
      <c r="O54" s="79">
        <f ca="1">SUMIF(INDIRECT(O$5&amp;"[SUBCATEGORÍA]"),$B54,INDIRECT(O$5&amp;"[ARS]"))</f>
        <v>0</v>
      </c>
      <c r="P54" s="80">
        <f ca="1">SUMIF(INDIRECT(O$5&amp;"[SUBCATEGORÍA]"),$B54,INDIRECT(O$5&amp;"[USD]"))</f>
        <v>0</v>
      </c>
      <c r="Q54" s="79">
        <f ca="1">SUMIF(INDIRECT(Q$5&amp;"[SUBCATEGORÍA]"),$B54,INDIRECT(Q$5&amp;"[ARS]"))</f>
        <v>0</v>
      </c>
      <c r="R54" s="80">
        <f ca="1">SUMIF(INDIRECT(Q$5&amp;"[SUBCATEGORÍA]"),$B54,INDIRECT(Q$5&amp;"[USD]"))</f>
        <v>0</v>
      </c>
      <c r="S54" s="79">
        <f ca="1">SUMIF(INDIRECT(S$5&amp;"[SUBCATEGORÍA]"),$B54,INDIRECT(S$5&amp;"[ARS]"))</f>
        <v>0</v>
      </c>
      <c r="T54" s="80">
        <f ca="1">SUMIF(INDIRECT(S$5&amp;"[SUBCATEGORÍA]"),$B54,INDIRECT(S$5&amp;"[USD]"))</f>
        <v>0</v>
      </c>
      <c r="U54" s="79">
        <f ca="1">SUMIF(INDIRECT(U$5&amp;"[SUBCATEGORÍA]"),$B54,INDIRECT(U$5&amp;"[ARS]"))</f>
        <v>0</v>
      </c>
      <c r="V54" s="80">
        <f ca="1">SUMIF(INDIRECT(U$5&amp;"[SUBCATEGORÍA]"),$B54,INDIRECT(U$5&amp;"[USD]"))</f>
        <v>0</v>
      </c>
      <c r="W54" s="79">
        <f ca="1">SUMIF(INDIRECT(W$5&amp;"[SUBCATEGORÍA]"),$B54,INDIRECT(W$5&amp;"[ARS]"))</f>
        <v>0</v>
      </c>
      <c r="X54" s="80">
        <f ca="1">SUMIF(INDIRECT(W$5&amp;"[SUBCATEGORÍA]"),$B54,INDIRECT(W$5&amp;"[USD]"))</f>
        <v>0</v>
      </c>
      <c r="Y54" s="79">
        <f ca="1">SUMIF(INDIRECT(Y$5&amp;"[SUBCATEGORÍA]"),$B54,INDIRECT(Y$5&amp;"[ARS]"))</f>
        <v>0</v>
      </c>
      <c r="Z54" s="80">
        <f ca="1">SUMIF(INDIRECT(Y$5&amp;"[SUBCATEGORÍA]"),$B54,INDIRECT(Y$5&amp;"[USD]"))</f>
        <v>0</v>
      </c>
      <c r="AA54" s="48"/>
      <c r="AB54" s="50">
        <f t="shared" ref="AB54:AB57" ca="1" si="148">SUM(C54,E54,G54,I54,K54,M54,O54,Q54,S54,U54,W54,Y54)</f>
        <v>0</v>
      </c>
      <c r="AC54" s="50">
        <f t="shared" ref="AC54:AC57" ca="1" si="149">SUM(D54,F54,H54,L54,N54,P54,R54,T54,V54,X54,Z54)</f>
        <v>0</v>
      </c>
      <c r="AD54" s="39">
        <f t="shared" ca="1" si="43"/>
        <v>0</v>
      </c>
    </row>
    <row r="55" spans="2:30" ht="19" thickBot="1" x14ac:dyDescent="0.4">
      <c r="B55" s="82" t="s">
        <v>40</v>
      </c>
      <c r="C55" s="79">
        <f ca="1">SUMIF(INDIRECT(C$5&amp;"[SUBCATEGORÍA]"),$B55,INDIRECT(C$5&amp;"[ARS]"))</f>
        <v>0</v>
      </c>
      <c r="D55" s="86">
        <f t="shared" ca="1" si="141"/>
        <v>0</v>
      </c>
      <c r="E55" s="86">
        <f t="shared" ca="1" si="142"/>
        <v>0</v>
      </c>
      <c r="F55" s="87">
        <f t="shared" ca="1" si="143"/>
        <v>0</v>
      </c>
      <c r="G55" s="86">
        <f t="shared" ca="1" si="144"/>
        <v>0</v>
      </c>
      <c r="H55" s="87">
        <f t="shared" ca="1" si="145"/>
        <v>0</v>
      </c>
      <c r="I55" s="86">
        <f t="shared" ca="1" si="146"/>
        <v>0</v>
      </c>
      <c r="J55" s="87">
        <f t="shared" ca="1" si="147"/>
        <v>0</v>
      </c>
      <c r="K55" s="79">
        <f ca="1">SUMIF(INDIRECT(K$5&amp;"[SUBCATEGORÍA]"),$B55,INDIRECT(K$5&amp;"[ARS]"))</f>
        <v>0</v>
      </c>
      <c r="L55" s="80">
        <f ca="1">SUMIF(INDIRECT(K$5&amp;"[SUBCATEGORÍA]"),$B55,INDIRECT(K$5&amp;"[USD]"))</f>
        <v>0</v>
      </c>
      <c r="M55" s="79">
        <f ca="1">SUMIF(INDIRECT(M$5&amp;"[SUBCATEGORÍA]"),$B55,INDIRECT(M$5&amp;"[ARS]"))</f>
        <v>0</v>
      </c>
      <c r="N55" s="80">
        <f ca="1">SUMIF(INDIRECT(M$5&amp;"[SUBCATEGORÍA]"),$B55,INDIRECT(M$5&amp;"[USD]"))</f>
        <v>0</v>
      </c>
      <c r="O55" s="79">
        <f ca="1">SUMIF(INDIRECT(O$5&amp;"[SUBCATEGORÍA]"),$B55,INDIRECT(O$5&amp;"[ARS]"))</f>
        <v>0</v>
      </c>
      <c r="P55" s="80">
        <f ca="1">SUMIF(INDIRECT(O$5&amp;"[SUBCATEGORÍA]"),$B55,INDIRECT(O$5&amp;"[USD]"))</f>
        <v>0</v>
      </c>
      <c r="Q55" s="79">
        <f ca="1">SUMIF(INDIRECT(Q$5&amp;"[SUBCATEGORÍA]"),$B55,INDIRECT(Q$5&amp;"[ARS]"))</f>
        <v>0</v>
      </c>
      <c r="R55" s="80">
        <f ca="1">SUMIF(INDIRECT(Q$5&amp;"[SUBCATEGORÍA]"),$B55,INDIRECT(Q$5&amp;"[USD]"))</f>
        <v>0</v>
      </c>
      <c r="S55" s="79">
        <f ca="1">SUMIF(INDIRECT(S$5&amp;"[SUBCATEGORÍA]"),$B55,INDIRECT(S$5&amp;"[ARS]"))</f>
        <v>0</v>
      </c>
      <c r="T55" s="80">
        <f ca="1">SUMIF(INDIRECT(S$5&amp;"[SUBCATEGORÍA]"),$B55,INDIRECT(S$5&amp;"[USD]"))</f>
        <v>0</v>
      </c>
      <c r="U55" s="79">
        <f ca="1">SUMIF(INDIRECT(U$5&amp;"[SUBCATEGORÍA]"),$B55,INDIRECT(U$5&amp;"[ARS]"))</f>
        <v>0</v>
      </c>
      <c r="V55" s="80">
        <f ca="1">SUMIF(INDIRECT(U$5&amp;"[SUBCATEGORÍA]"),$B55,INDIRECT(U$5&amp;"[USD]"))</f>
        <v>0</v>
      </c>
      <c r="W55" s="79">
        <f ca="1">SUMIF(INDIRECT(W$5&amp;"[SUBCATEGORÍA]"),$B55,INDIRECT(W$5&amp;"[ARS]"))</f>
        <v>0</v>
      </c>
      <c r="X55" s="80">
        <f ca="1">SUMIF(INDIRECT(W$5&amp;"[SUBCATEGORÍA]"),$B55,INDIRECT(W$5&amp;"[USD]"))</f>
        <v>0</v>
      </c>
      <c r="Y55" s="79">
        <f ca="1">SUMIF(INDIRECT(Y$5&amp;"[SUBCATEGORÍA]"),$B55,INDIRECT(Y$5&amp;"[ARS]"))</f>
        <v>0</v>
      </c>
      <c r="Z55" s="80">
        <f ca="1">SUMIF(INDIRECT(Y$5&amp;"[SUBCATEGORÍA]"),$B55,INDIRECT(Y$5&amp;"[USD]"))</f>
        <v>0</v>
      </c>
      <c r="AA55" s="48"/>
      <c r="AB55" s="50">
        <f t="shared" ca="1" si="148"/>
        <v>0</v>
      </c>
      <c r="AC55" s="50">
        <f t="shared" ca="1" si="149"/>
        <v>0</v>
      </c>
      <c r="AD55" s="39">
        <f t="shared" ca="1" si="43"/>
        <v>0</v>
      </c>
    </row>
    <row r="56" spans="2:30" ht="19" thickBot="1" x14ac:dyDescent="0.4">
      <c r="B56" s="82" t="s">
        <v>39</v>
      </c>
      <c r="C56" s="79">
        <f ca="1">SUMIF(INDIRECT(C$5&amp;"[SUBCATEGORÍA]"),$B56,INDIRECT(C$5&amp;"[ARS]"))</f>
        <v>0</v>
      </c>
      <c r="D56" s="86">
        <f t="shared" ca="1" si="141"/>
        <v>0</v>
      </c>
      <c r="E56" s="86">
        <f t="shared" ca="1" si="142"/>
        <v>0</v>
      </c>
      <c r="F56" s="87">
        <f t="shared" ca="1" si="143"/>
        <v>0</v>
      </c>
      <c r="G56" s="86">
        <f t="shared" ca="1" si="144"/>
        <v>0</v>
      </c>
      <c r="H56" s="87">
        <f t="shared" ca="1" si="145"/>
        <v>0</v>
      </c>
      <c r="I56" s="86">
        <f t="shared" ca="1" si="146"/>
        <v>0</v>
      </c>
      <c r="J56" s="87">
        <f t="shared" ca="1" si="147"/>
        <v>0</v>
      </c>
      <c r="K56" s="79">
        <f ca="1">SUMIF(INDIRECT(K$5&amp;"[SUBCATEGORÍA]"),$B56,INDIRECT(K$5&amp;"[ARS]"))</f>
        <v>0</v>
      </c>
      <c r="L56" s="80">
        <f ca="1">SUMIF(INDIRECT(K$5&amp;"[SUBCATEGORÍA]"),$B56,INDIRECT(K$5&amp;"[USD]"))</f>
        <v>0</v>
      </c>
      <c r="M56" s="79">
        <f ca="1">SUMIF(INDIRECT(M$5&amp;"[SUBCATEGORÍA]"),$B56,INDIRECT(M$5&amp;"[ARS]"))</f>
        <v>0</v>
      </c>
      <c r="N56" s="80">
        <f ca="1">SUMIF(INDIRECT(M$5&amp;"[SUBCATEGORÍA]"),$B56,INDIRECT(M$5&amp;"[USD]"))</f>
        <v>0</v>
      </c>
      <c r="O56" s="79">
        <f ca="1">SUMIF(INDIRECT(O$5&amp;"[SUBCATEGORÍA]"),$B56,INDIRECT(O$5&amp;"[ARS]"))</f>
        <v>0</v>
      </c>
      <c r="P56" s="80">
        <f ca="1">SUMIF(INDIRECT(O$5&amp;"[SUBCATEGORÍA]"),$B56,INDIRECT(O$5&amp;"[USD]"))</f>
        <v>0</v>
      </c>
      <c r="Q56" s="79">
        <f ca="1">SUMIF(INDIRECT(Q$5&amp;"[SUBCATEGORÍA]"),$B56,INDIRECT(Q$5&amp;"[ARS]"))</f>
        <v>0</v>
      </c>
      <c r="R56" s="80">
        <f ca="1">SUMIF(INDIRECT(Q$5&amp;"[SUBCATEGORÍA]"),$B56,INDIRECT(Q$5&amp;"[USD]"))</f>
        <v>0</v>
      </c>
      <c r="S56" s="79">
        <f ca="1">SUMIF(INDIRECT(S$5&amp;"[SUBCATEGORÍA]"),$B56,INDIRECT(S$5&amp;"[ARS]"))</f>
        <v>0</v>
      </c>
      <c r="T56" s="80">
        <f ca="1">SUMIF(INDIRECT(S$5&amp;"[SUBCATEGORÍA]"),$B56,INDIRECT(S$5&amp;"[USD]"))</f>
        <v>0</v>
      </c>
      <c r="U56" s="79">
        <f ca="1">SUMIF(INDIRECT(U$5&amp;"[SUBCATEGORÍA]"),$B56,INDIRECT(U$5&amp;"[ARS]"))</f>
        <v>0</v>
      </c>
      <c r="V56" s="80">
        <f ca="1">SUMIF(INDIRECT(U$5&amp;"[SUBCATEGORÍA]"),$B56,INDIRECT(U$5&amp;"[USD]"))</f>
        <v>0</v>
      </c>
      <c r="W56" s="79">
        <f ca="1">SUMIF(INDIRECT(W$5&amp;"[SUBCATEGORÍA]"),$B56,INDIRECT(W$5&amp;"[ARS]"))</f>
        <v>0</v>
      </c>
      <c r="X56" s="80">
        <f ca="1">SUMIF(INDIRECT(W$5&amp;"[SUBCATEGORÍA]"),$B56,INDIRECT(W$5&amp;"[USD]"))</f>
        <v>0</v>
      </c>
      <c r="Y56" s="79">
        <f ca="1">SUMIF(INDIRECT(Y$5&amp;"[SUBCATEGORÍA]"),$B56,INDIRECT(Y$5&amp;"[ARS]"))</f>
        <v>0</v>
      </c>
      <c r="Z56" s="80">
        <f ca="1">SUMIF(INDIRECT(Y$5&amp;"[SUBCATEGORÍA]"),$B56,INDIRECT(Y$5&amp;"[USD]"))</f>
        <v>0</v>
      </c>
      <c r="AA56" s="48"/>
      <c r="AB56" s="50">
        <f t="shared" ca="1" si="148"/>
        <v>0</v>
      </c>
      <c r="AC56" s="50">
        <f t="shared" ca="1" si="149"/>
        <v>0</v>
      </c>
      <c r="AD56" s="39">
        <f t="shared" ca="1" si="43"/>
        <v>0</v>
      </c>
    </row>
    <row r="57" spans="2:30" ht="19" thickBot="1" x14ac:dyDescent="0.4">
      <c r="B57" s="82" t="s">
        <v>58</v>
      </c>
      <c r="C57" s="91">
        <f ca="1">SUMIF(INDIRECT(C$5&amp;"[SUBCATEGORÍA]"),$B57,INDIRECT(C$5&amp;"[ARS]"))</f>
        <v>0</v>
      </c>
      <c r="D57" s="86">
        <f t="shared" ca="1" si="141"/>
        <v>0</v>
      </c>
      <c r="E57" s="86">
        <f t="shared" ca="1" si="142"/>
        <v>0</v>
      </c>
      <c r="F57" s="87">
        <f t="shared" ca="1" si="143"/>
        <v>0</v>
      </c>
      <c r="G57" s="86">
        <f t="shared" ca="1" si="144"/>
        <v>0</v>
      </c>
      <c r="H57" s="87">
        <f t="shared" ca="1" si="145"/>
        <v>0</v>
      </c>
      <c r="I57" s="86">
        <f t="shared" ca="1" si="146"/>
        <v>0</v>
      </c>
      <c r="J57" s="87">
        <f t="shared" ca="1" si="147"/>
        <v>0</v>
      </c>
      <c r="K57" s="91">
        <f ca="1">SUMIF(INDIRECT(K$5&amp;"[SUBCATEGORÍA]"),$B57,INDIRECT(K$5&amp;"[ARS]"))</f>
        <v>0</v>
      </c>
      <c r="L57" s="92">
        <f ca="1">SUMIF(INDIRECT(K$5&amp;"[SUBCATEGORÍA]"),$B57,INDIRECT(K$5&amp;"[USD]"))</f>
        <v>0</v>
      </c>
      <c r="M57" s="91">
        <f ca="1">SUMIF(INDIRECT(M$5&amp;"[SUBCATEGORÍA]"),$B57,INDIRECT(M$5&amp;"[ARS]"))</f>
        <v>0</v>
      </c>
      <c r="N57" s="92">
        <f ca="1">SUMIF(INDIRECT(M$5&amp;"[SUBCATEGORÍA]"),$B57,INDIRECT(M$5&amp;"[USD]"))</f>
        <v>0</v>
      </c>
      <c r="O57" s="91">
        <f ca="1">SUMIF(INDIRECT(O$5&amp;"[SUBCATEGORÍA]"),$B57,INDIRECT(O$5&amp;"[ARS]"))</f>
        <v>0</v>
      </c>
      <c r="P57" s="92">
        <f ca="1">SUMIF(INDIRECT(O$5&amp;"[SUBCATEGORÍA]"),$B57,INDIRECT(O$5&amp;"[USD]"))</f>
        <v>0</v>
      </c>
      <c r="Q57" s="91">
        <f ca="1">SUMIF(INDIRECT(Q$5&amp;"[SUBCATEGORÍA]"),$B57,INDIRECT(Q$5&amp;"[ARS]"))</f>
        <v>0</v>
      </c>
      <c r="R57" s="92">
        <f ca="1">SUMIF(INDIRECT(Q$5&amp;"[SUBCATEGORÍA]"),$B57,INDIRECT(Q$5&amp;"[USD]"))</f>
        <v>0</v>
      </c>
      <c r="S57" s="91">
        <f ca="1">SUMIF(INDIRECT(S$5&amp;"[SUBCATEGORÍA]"),$B57,INDIRECT(S$5&amp;"[ARS]"))</f>
        <v>0</v>
      </c>
      <c r="T57" s="92">
        <f ca="1">SUMIF(INDIRECT(S$5&amp;"[SUBCATEGORÍA]"),$B57,INDIRECT(S$5&amp;"[USD]"))</f>
        <v>0</v>
      </c>
      <c r="U57" s="91">
        <f ca="1">SUMIF(INDIRECT(U$5&amp;"[SUBCATEGORÍA]"),$B57,INDIRECT(U$5&amp;"[ARS]"))</f>
        <v>0</v>
      </c>
      <c r="V57" s="92">
        <f ca="1">SUMIF(INDIRECT(U$5&amp;"[SUBCATEGORÍA]"),$B57,INDIRECT(U$5&amp;"[USD]"))</f>
        <v>0</v>
      </c>
      <c r="W57" s="91">
        <f ca="1">SUMIF(INDIRECT(W$5&amp;"[SUBCATEGORÍA]"),$B57,INDIRECT(W$5&amp;"[ARS]"))</f>
        <v>0</v>
      </c>
      <c r="X57" s="92">
        <f ca="1">SUMIF(INDIRECT(W$5&amp;"[SUBCATEGORÍA]"),$B57,INDIRECT(W$5&amp;"[USD]"))</f>
        <v>0</v>
      </c>
      <c r="Y57" s="91">
        <f ca="1">SUMIF(INDIRECT(Y$5&amp;"[SUBCATEGORÍA]"),$B57,INDIRECT(Y$5&amp;"[ARS]"))</f>
        <v>0</v>
      </c>
      <c r="Z57" s="92">
        <f ca="1">SUMIF(INDIRECT(Y$5&amp;"[SUBCATEGORÍA]"),$B57,INDIRECT(Y$5&amp;"[USD]"))</f>
        <v>0</v>
      </c>
      <c r="AA57" s="48"/>
      <c r="AB57" s="50">
        <f t="shared" ca="1" si="148"/>
        <v>0</v>
      </c>
      <c r="AC57" s="50">
        <f t="shared" ca="1" si="149"/>
        <v>0</v>
      </c>
      <c r="AD57" s="39">
        <f t="shared" ca="1" si="43"/>
        <v>0</v>
      </c>
    </row>
    <row r="58" spans="2:30" ht="18.5" x14ac:dyDescent="0.45">
      <c r="B58" s="81" t="s">
        <v>56</v>
      </c>
      <c r="C58" s="88">
        <f t="shared" ref="C58:AA58" ca="1" si="150">SUM(C59:C61)</f>
        <v>429620</v>
      </c>
      <c r="D58" s="89">
        <f t="shared" ca="1" si="150"/>
        <v>357.98326359832635</v>
      </c>
      <c r="E58" s="90">
        <f t="shared" ca="1" si="150"/>
        <v>143960</v>
      </c>
      <c r="F58" s="89">
        <f t="shared" ca="1" si="150"/>
        <v>122</v>
      </c>
      <c r="G58" s="90">
        <f t="shared" ca="1" si="150"/>
        <v>249400</v>
      </c>
      <c r="H58" s="89">
        <f t="shared" ca="1" si="150"/>
        <v>207.83333333333334</v>
      </c>
      <c r="I58" s="90">
        <f t="shared" ca="1" si="150"/>
        <v>52000</v>
      </c>
      <c r="J58" s="89">
        <f t="shared" ca="1" si="150"/>
        <v>43.333333333333336</v>
      </c>
      <c r="K58" s="90">
        <f t="shared" ca="1" si="150"/>
        <v>142740</v>
      </c>
      <c r="L58" s="89">
        <f t="shared" ca="1" si="150"/>
        <v>122</v>
      </c>
      <c r="M58" s="90">
        <f t="shared" ca="1" si="150"/>
        <v>424060</v>
      </c>
      <c r="N58" s="89">
        <f t="shared" ca="1" si="150"/>
        <v>364</v>
      </c>
      <c r="O58" s="90">
        <f t="shared" ca="1" si="150"/>
        <v>195951</v>
      </c>
      <c r="P58" s="89">
        <f t="shared" ca="1" si="150"/>
        <v>151.9</v>
      </c>
      <c r="Q58" s="90">
        <f t="shared" ca="1" si="150"/>
        <v>0</v>
      </c>
      <c r="R58" s="89">
        <f t="shared" ca="1" si="150"/>
        <v>0</v>
      </c>
      <c r="S58" s="90">
        <f t="shared" ca="1" si="150"/>
        <v>367700</v>
      </c>
      <c r="T58" s="89">
        <f t="shared" ca="1" si="150"/>
        <v>280.68702290076334</v>
      </c>
      <c r="U58" s="90">
        <f t="shared" ca="1" si="150"/>
        <v>165920</v>
      </c>
      <c r="V58" s="89">
        <f t="shared" ca="1" si="150"/>
        <v>122</v>
      </c>
      <c r="W58" s="90">
        <f t="shared" ca="1" si="150"/>
        <v>0</v>
      </c>
      <c r="X58" s="89">
        <f t="shared" ca="1" si="150"/>
        <v>0</v>
      </c>
      <c r="Y58" s="90">
        <f t="shared" ca="1" si="150"/>
        <v>0</v>
      </c>
      <c r="Z58" s="89">
        <f t="shared" ca="1" si="150"/>
        <v>0</v>
      </c>
      <c r="AA58" s="48">
        <f t="shared" si="150"/>
        <v>0</v>
      </c>
      <c r="AB58" s="49">
        <f ca="1">SUM(C58,E58,G58,I58,K58,M58,O58,Q58,S58,U58,W58,Y58)</f>
        <v>2171351</v>
      </c>
      <c r="AC58" s="49">
        <f ca="1">SUM(D58,F58,H58,L58,N58,P58,R58,T58,V58,X58,Z58)</f>
        <v>1728.4036198324231</v>
      </c>
      <c r="AD58" s="38">
        <f t="shared" ca="1" si="43"/>
        <v>7.9428876153709055E-2</v>
      </c>
    </row>
    <row r="59" spans="2:30" ht="19" thickBot="1" x14ac:dyDescent="0.4">
      <c r="B59" s="82" t="s">
        <v>73</v>
      </c>
      <c r="C59" s="79">
        <f ca="1">SUMIF(INDIRECT(C$5&amp;"[SUBCATEGORÍA]"),$B59,INDIRECT(C$5&amp;"[ARS]"))</f>
        <v>282000</v>
      </c>
      <c r="D59" s="87">
        <f ca="1">SUMIF(INDIRECT(C$5&amp;"[SUBCATEGORÍA]"),$B59,INDIRECT(C$5&amp;"[USD]"))</f>
        <v>235.98326359832635</v>
      </c>
      <c r="E59" s="86">
        <f ca="1">SUMIF(INDIRECT(E$5&amp;"[SUBCATEGORÍA]"),$B59,INDIRECT(E$5&amp;"[ARS]"))</f>
        <v>0</v>
      </c>
      <c r="F59" s="87">
        <f ca="1">SUMIF(INDIRECT(E$5&amp;"[SUBCATEGORÍA]"),$B59,INDIRECT(E$5&amp;"[USD]"))</f>
        <v>0</v>
      </c>
      <c r="G59" s="86">
        <f ca="1">SUMIF(INDIRECT(G$5&amp;"[SUBCATEGORÍA]"),$B59,INDIRECT(G$5&amp;"[ARS]"))</f>
        <v>103000</v>
      </c>
      <c r="H59" s="87">
        <f ca="1">SUMIF(INDIRECT(G$5&amp;"[SUBCATEGORÍA]"),$B59,INDIRECT(G$5&amp;"[USD]"))</f>
        <v>85.833333333333343</v>
      </c>
      <c r="I59" s="79">
        <f ca="1">SUMIF(INDIRECT(I$5&amp;"[SUBCATEGORÍA]"),$B59,INDIRECT(I$5&amp;"[ARS]"))</f>
        <v>52000</v>
      </c>
      <c r="J59" s="80">
        <f ca="1">SUMIF(INDIRECT(I$5&amp;"[SUBCATEGORÍA]"),$B59,INDIRECT(I$5&amp;"[USD]"))</f>
        <v>43.333333333333336</v>
      </c>
      <c r="K59" s="79">
        <f ca="1">SUMIF(INDIRECT(K$5&amp;"[SUBCATEGORÍA]"),$B59,INDIRECT(K$5&amp;"[ARS]"))</f>
        <v>0</v>
      </c>
      <c r="L59" s="80">
        <f ca="1">SUMIF(INDIRECT(K$5&amp;"[SUBCATEGORÍA]"),$B59,INDIRECT(K$5&amp;"[USD]"))</f>
        <v>0</v>
      </c>
      <c r="M59" s="79">
        <f ca="1">SUMIF(INDIRECT(M$5&amp;"[SUBCATEGORÍA]"),$B59,INDIRECT(M$5&amp;"[ARS]"))</f>
        <v>0</v>
      </c>
      <c r="N59" s="80">
        <f ca="1">SUMIF(INDIRECT(M$5&amp;"[SUBCATEGORÍA]"),$B59,INDIRECT(M$5&amp;"[USD]"))</f>
        <v>0</v>
      </c>
      <c r="O59" s="79">
        <f ca="1">SUMIF(INDIRECT(O$5&amp;"[SUBCATEGORÍA]"),$B59,INDIRECT(O$5&amp;"[ARS]"))</f>
        <v>0</v>
      </c>
      <c r="P59" s="80">
        <f ca="1">SUMIF(INDIRECT(O$5&amp;"[SUBCATEGORÍA]"),$B59,INDIRECT(O$5&amp;"[USD]"))</f>
        <v>0</v>
      </c>
      <c r="Q59" s="79">
        <f ca="1">SUMIF(INDIRECT(Q$5&amp;"[SUBCATEGORÍA]"),$B59,INDIRECT(Q$5&amp;"[ARS]"))</f>
        <v>0</v>
      </c>
      <c r="R59" s="80">
        <f ca="1">SUMIF(INDIRECT(Q$5&amp;"[SUBCATEGORÍA]"),$B59,INDIRECT(Q$5&amp;"[USD]"))</f>
        <v>0</v>
      </c>
      <c r="S59" s="79">
        <f ca="1">SUMIF(INDIRECT(S$5&amp;"[SUBCATEGORÍA]"),$B59,INDIRECT(S$5&amp;"[ARS]"))</f>
        <v>0</v>
      </c>
      <c r="T59" s="80">
        <f ca="1">SUMIF(INDIRECT(S$5&amp;"[SUBCATEGORÍA]"),$B59,INDIRECT(S$5&amp;"[USD]"))</f>
        <v>0</v>
      </c>
      <c r="U59" s="79">
        <f ca="1">SUMIF(INDIRECT(U$5&amp;"[SUBCATEGORÍA]"),$B59,INDIRECT(U$5&amp;"[ARS]"))</f>
        <v>0</v>
      </c>
      <c r="V59" s="80">
        <f ca="1">SUMIF(INDIRECT(U$5&amp;"[SUBCATEGORÍA]"),$B59,INDIRECT(U$5&amp;"[USD]"))</f>
        <v>0</v>
      </c>
      <c r="W59" s="79">
        <f ca="1">SUMIF(INDIRECT(W$5&amp;"[SUBCATEGORÍA]"),$B59,INDIRECT(W$5&amp;"[ARS]"))</f>
        <v>0</v>
      </c>
      <c r="X59" s="80">
        <f ca="1">SUMIF(INDIRECT(W$5&amp;"[SUBCATEGORÍA]"),$B59,INDIRECT(W$5&amp;"[USD]"))</f>
        <v>0</v>
      </c>
      <c r="Y59" s="79">
        <f ca="1">SUMIF(INDIRECT(Y$5&amp;"[SUBCATEGORÍA]"),$B59,INDIRECT(Y$5&amp;"[ARS]"))</f>
        <v>0</v>
      </c>
      <c r="Z59" s="80">
        <f ca="1">SUMIF(INDIRECT(Y$5&amp;"[SUBCATEGORÍA]"),$B59,INDIRECT(Y$5&amp;"[USD]"))</f>
        <v>0</v>
      </c>
      <c r="AA59" s="48"/>
      <c r="AB59" s="50">
        <f t="shared" ref="AB59:AB61" ca="1" si="151">SUM(C59,E59,G59,I59,K59,M59,O59,Q59,S59,U59,W59,Y59)</f>
        <v>437000</v>
      </c>
      <c r="AC59" s="50">
        <f t="shared" ref="AC59:AC61" ca="1" si="152">SUM(D59,F59,H59,L59,N59,P59,R59,T59,V59,X59,Z59)</f>
        <v>321.81659693165966</v>
      </c>
      <c r="AD59" s="39">
        <f t="shared" ca="1" si="43"/>
        <v>1.5985632391617412E-2</v>
      </c>
    </row>
    <row r="60" spans="2:30" ht="19" thickBot="1" x14ac:dyDescent="0.4">
      <c r="B60" s="82" t="s">
        <v>106</v>
      </c>
      <c r="C60" s="91">
        <f ca="1">SUMIF(INDIRECT(C$5&amp;"[SUBCATEGORÍA]"),$B60,INDIRECT(C$5&amp;"[ARS]"))</f>
        <v>147620</v>
      </c>
      <c r="D60" s="87">
        <f ca="1">SUMIF(INDIRECT(C$5&amp;"[SUBCATEGORÍA]"),$B60,INDIRECT(C$5&amp;"[USD]"))</f>
        <v>122</v>
      </c>
      <c r="E60" s="86">
        <f ca="1">SUMIF(INDIRECT(E$5&amp;"[SUBCATEGORÍA]"),$B60,INDIRECT(E$5&amp;"[ARS]"))</f>
        <v>143960</v>
      </c>
      <c r="F60" s="87">
        <f ca="1">SUMIF(INDIRECT(E$5&amp;"[SUBCATEGORÍA]"),$B60,INDIRECT(E$5&amp;"[USD]"))</f>
        <v>122</v>
      </c>
      <c r="G60" s="86">
        <f ca="1">SUMIF(INDIRECT(G$5&amp;"[SUBCATEGORÍA]"),$B60,INDIRECT(G$5&amp;"[ARS]"))</f>
        <v>146400</v>
      </c>
      <c r="H60" s="87">
        <f ca="1">SUMIF(INDIRECT(G$5&amp;"[SUBCATEGORÍA]"),$B60,INDIRECT(G$5&amp;"[USD]"))</f>
        <v>122</v>
      </c>
      <c r="I60" s="79">
        <f ca="1">SUMIF(INDIRECT(I$5&amp;"[SUBCATEGORÍA]"),$B60,INDIRECT(I$5&amp;"[ARS]"))</f>
        <v>0</v>
      </c>
      <c r="J60" s="80">
        <f ca="1">SUMIF(INDIRECT(I$5&amp;"[SUBCATEGORÍA]"),$B60,INDIRECT(I$5&amp;"[USD]"))</f>
        <v>0</v>
      </c>
      <c r="K60" s="91">
        <f ca="1">SUMIF(INDIRECT(K$5&amp;"[SUBCATEGORÍA]"),$B60,INDIRECT(K$5&amp;"[ARS]"))</f>
        <v>142740</v>
      </c>
      <c r="L60" s="92">
        <f ca="1">SUMIF(INDIRECT(K$5&amp;"[SUBCATEGORÍA]"),$B60,INDIRECT(K$5&amp;"[USD]"))</f>
        <v>122</v>
      </c>
      <c r="M60" s="91">
        <f ca="1">SUMIF(INDIRECT(M$5&amp;"[SUBCATEGORÍA]"),$B60,INDIRECT(M$5&amp;"[ARS]"))</f>
        <v>424060</v>
      </c>
      <c r="N60" s="92">
        <f ca="1">SUMIF(INDIRECT(M$5&amp;"[SUBCATEGORÍA]"),$B60,INDIRECT(M$5&amp;"[USD]"))</f>
        <v>364</v>
      </c>
      <c r="O60" s="91">
        <f ca="1">SUMIF(INDIRECT(O$5&amp;"[SUBCATEGORÍA]"),$B60,INDIRECT(O$5&amp;"[ARS]"))</f>
        <v>195951</v>
      </c>
      <c r="P60" s="92">
        <f ca="1">SUMIF(INDIRECT(O$5&amp;"[SUBCATEGORÍA]"),$B60,INDIRECT(O$5&amp;"[USD]"))</f>
        <v>151.9</v>
      </c>
      <c r="Q60" s="91">
        <f ca="1">SUMIF(INDIRECT(Q$5&amp;"[SUBCATEGORÍA]"),$B60,INDIRECT(Q$5&amp;"[ARS]"))</f>
        <v>0</v>
      </c>
      <c r="R60" s="92">
        <f ca="1">SUMIF(INDIRECT(Q$5&amp;"[SUBCATEGORÍA]"),$B60,INDIRECT(Q$5&amp;"[USD]"))</f>
        <v>0</v>
      </c>
      <c r="S60" s="91">
        <f ca="1">SUMIF(INDIRECT(S$5&amp;"[SUBCATEGORÍA]"),$B60,INDIRECT(S$5&amp;"[ARS]"))</f>
        <v>222700</v>
      </c>
      <c r="T60" s="92">
        <f ca="1">SUMIF(INDIRECT(S$5&amp;"[SUBCATEGORÍA]"),$B60,INDIRECT(S$5&amp;"[USD]"))</f>
        <v>170</v>
      </c>
      <c r="U60" s="91">
        <f ca="1">SUMIF(INDIRECT(U$5&amp;"[SUBCATEGORÍA]"),$B60,INDIRECT(U$5&amp;"[ARS]"))</f>
        <v>165920</v>
      </c>
      <c r="V60" s="92">
        <f ca="1">SUMIF(INDIRECT(U$5&amp;"[SUBCATEGORÍA]"),$B60,INDIRECT(U$5&amp;"[USD]"))</f>
        <v>122</v>
      </c>
      <c r="W60" s="91">
        <f ca="1">SUMIF(INDIRECT(W$5&amp;"[SUBCATEGORÍA]"),$B60,INDIRECT(W$5&amp;"[ARS]"))</f>
        <v>0</v>
      </c>
      <c r="X60" s="92">
        <f ca="1">SUMIF(INDIRECT(W$5&amp;"[SUBCATEGORÍA]"),$B60,INDIRECT(W$5&amp;"[USD]"))</f>
        <v>0</v>
      </c>
      <c r="Y60" s="91">
        <f ca="1">SUMIF(INDIRECT(Y$5&amp;"[SUBCATEGORÍA]"),$B60,INDIRECT(Y$5&amp;"[ARS]"))</f>
        <v>0</v>
      </c>
      <c r="Z60" s="92">
        <f ca="1">SUMIF(INDIRECT(Y$5&amp;"[SUBCATEGORÍA]"),$B60,INDIRECT(Y$5&amp;"[USD]"))</f>
        <v>0</v>
      </c>
      <c r="AA60" s="48"/>
      <c r="AB60" s="50">
        <f t="shared" ca="1" si="151"/>
        <v>1589351</v>
      </c>
      <c r="AC60" s="50">
        <f t="shared" ca="1" si="152"/>
        <v>1295.9000000000001</v>
      </c>
      <c r="AD60" s="39">
        <f t="shared" ca="1" si="43"/>
        <v>5.8139086561211729E-2</v>
      </c>
    </row>
    <row r="61" spans="2:30" ht="19" thickBot="1" x14ac:dyDescent="0.4">
      <c r="B61" s="82" t="s">
        <v>41</v>
      </c>
      <c r="C61" s="83">
        <f ca="1">SUMIF(INDIRECT(C$5&amp;"[SUBCATEGORÍA]"),$B61,INDIRECT(C$5&amp;"[ARS]"))</f>
        <v>0</v>
      </c>
      <c r="D61" s="87">
        <f ca="1">SUMIF(INDIRECT(C$5&amp;"[SUBCATEGORÍA]"),$B61,INDIRECT(C$5&amp;"[USD]"))</f>
        <v>0</v>
      </c>
      <c r="E61" s="86">
        <f ca="1">SUMIF(INDIRECT(E$5&amp;"[SUBCATEGORÍA]"),$B61,INDIRECT(E$5&amp;"[ARS]"))</f>
        <v>0</v>
      </c>
      <c r="F61" s="87">
        <f ca="1">SUMIF(INDIRECT(E$5&amp;"[SUBCATEGORÍA]"),$B61,INDIRECT(E$5&amp;"[USD]"))</f>
        <v>0</v>
      </c>
      <c r="G61" s="86">
        <f ca="1">SUMIF(INDIRECT(G$5&amp;"[SUBCATEGORÍA]"),$B61,INDIRECT(G$5&amp;"[ARS]"))</f>
        <v>0</v>
      </c>
      <c r="H61" s="87">
        <f ca="1">SUMIF(INDIRECT(G$5&amp;"[SUBCATEGORÍA]"),$B61,INDIRECT(G$5&amp;"[USD]"))</f>
        <v>0</v>
      </c>
      <c r="I61" s="79">
        <f ca="1">SUMIF(INDIRECT(I$5&amp;"[SUBCATEGORÍA]"),$B61,INDIRECT(I$5&amp;"[ARS]"))</f>
        <v>0</v>
      </c>
      <c r="J61" s="80">
        <f ca="1">SUMIF(INDIRECT(I$5&amp;"[SUBCATEGORÍA]"),$B61,INDIRECT(I$5&amp;"[USD]"))</f>
        <v>0</v>
      </c>
      <c r="K61" s="85">
        <f ca="1">SUMIF(INDIRECT(K$5&amp;"[SUBCATEGORÍA]"),$B61,INDIRECT(K$5&amp;"[ARS]"))</f>
        <v>0</v>
      </c>
      <c r="L61" s="84">
        <f ca="1">SUMIF(INDIRECT(K$5&amp;"[SUBCATEGORÍA]"),$B61,INDIRECT(K$5&amp;"[USD]"))</f>
        <v>0</v>
      </c>
      <c r="M61" s="85">
        <f ca="1">SUMIF(INDIRECT(M$5&amp;"[SUBCATEGORÍA]"),$B61,INDIRECT(M$5&amp;"[ARS]"))</f>
        <v>0</v>
      </c>
      <c r="N61" s="84">
        <f ca="1">SUMIF(INDIRECT(M$5&amp;"[SUBCATEGORÍA]"),$B61,INDIRECT(M$5&amp;"[USD]"))</f>
        <v>0</v>
      </c>
      <c r="O61" s="85">
        <f ca="1">SUMIF(INDIRECT(O$5&amp;"[SUBCATEGORÍA]"),$B61,INDIRECT(O$5&amp;"[ARS]"))</f>
        <v>0</v>
      </c>
      <c r="P61" s="84">
        <f ca="1">SUMIF(INDIRECT(O$5&amp;"[SUBCATEGORÍA]"),$B61,INDIRECT(O$5&amp;"[USD]"))</f>
        <v>0</v>
      </c>
      <c r="Q61" s="85">
        <f ca="1">SUMIF(INDIRECT(Q$5&amp;"[SUBCATEGORÍA]"),$B61,INDIRECT(Q$5&amp;"[ARS]"))</f>
        <v>0</v>
      </c>
      <c r="R61" s="84">
        <f ca="1">SUMIF(INDIRECT(Q$5&amp;"[SUBCATEGORÍA]"),$B61,INDIRECT(Q$5&amp;"[USD]"))</f>
        <v>0</v>
      </c>
      <c r="S61" s="85">
        <f ca="1">SUMIF(INDIRECT(S$5&amp;"[SUBCATEGORÍA]"),$B61,INDIRECT(S$5&amp;"[ARS]"))</f>
        <v>145000</v>
      </c>
      <c r="T61" s="84">
        <f ca="1">SUMIF(INDIRECT(S$5&amp;"[SUBCATEGORÍA]"),$B61,INDIRECT(S$5&amp;"[USD]"))</f>
        <v>110.68702290076335</v>
      </c>
      <c r="U61" s="85">
        <f ca="1">SUMIF(INDIRECT(U$5&amp;"[SUBCATEGORÍA]"),$B61,INDIRECT(U$5&amp;"[ARS]"))</f>
        <v>0</v>
      </c>
      <c r="V61" s="84">
        <f ca="1">SUMIF(INDIRECT(U$5&amp;"[SUBCATEGORÍA]"),$B61,INDIRECT(U$5&amp;"[USD]"))</f>
        <v>0</v>
      </c>
      <c r="W61" s="85">
        <f ca="1">SUMIF(INDIRECT(W$5&amp;"[SUBCATEGORÍA]"),$B61,INDIRECT(W$5&amp;"[ARS]"))</f>
        <v>0</v>
      </c>
      <c r="X61" s="84">
        <f ca="1">SUMIF(INDIRECT(W$5&amp;"[SUBCATEGORÍA]"),$B61,INDIRECT(W$5&amp;"[USD]"))</f>
        <v>0</v>
      </c>
      <c r="Y61" s="85">
        <f ca="1">SUMIF(INDIRECT(Y$5&amp;"[SUBCATEGORÍA]"),$B61,INDIRECT(Y$5&amp;"[ARS]"))</f>
        <v>0</v>
      </c>
      <c r="Z61" s="84">
        <f ca="1">SUMIF(INDIRECT(Y$5&amp;"[SUBCATEGORÍA]"),$B61,INDIRECT(Y$5&amp;"[USD]"))</f>
        <v>0</v>
      </c>
      <c r="AA61" s="48"/>
      <c r="AB61" s="50">
        <f t="shared" ca="1" si="151"/>
        <v>145000</v>
      </c>
      <c r="AC61" s="50">
        <f t="shared" ca="1" si="152"/>
        <v>110.68702290076335</v>
      </c>
      <c r="AD61" s="39">
        <f t="shared" ca="1" si="43"/>
        <v>5.3041572008799198E-3</v>
      </c>
    </row>
    <row r="62" spans="2:30" x14ac:dyDescent="0.35">
      <c r="AB62" s="48"/>
      <c r="AC62" s="48"/>
      <c r="AD62" s="40"/>
    </row>
    <row r="63" spans="2:30" ht="37" x14ac:dyDescent="0.35">
      <c r="B63" s="26" t="s">
        <v>42</v>
      </c>
      <c r="C63" s="51">
        <f t="shared" ref="C63:Z63" ca="1" si="153">C7+C24+C28+C33+C37+C45+C52+C58</f>
        <v>2322120</v>
      </c>
      <c r="D63" s="51">
        <f t="shared" ca="1" si="153"/>
        <v>1934.8652443030533</v>
      </c>
      <c r="E63" s="51">
        <f t="shared" ca="1" si="153"/>
        <v>1205900</v>
      </c>
      <c r="F63" s="51">
        <f t="shared" ca="1" si="153"/>
        <v>1019.1231264883038</v>
      </c>
      <c r="G63" s="51">
        <f t="shared" ca="1" si="153"/>
        <v>2109040</v>
      </c>
      <c r="H63" s="51">
        <f t="shared" ca="1" si="153"/>
        <v>1753.9975206611568</v>
      </c>
      <c r="I63" s="51">
        <f t="shared" ca="1" si="153"/>
        <v>1598300</v>
      </c>
      <c r="J63" s="51">
        <f t="shared" ca="1" si="153"/>
        <v>1243.8704912935323</v>
      </c>
      <c r="K63" s="51">
        <f t="shared" ca="1" si="153"/>
        <v>1849328</v>
      </c>
      <c r="L63" s="51">
        <f t="shared" ca="1" si="153"/>
        <v>1580.6222222222225</v>
      </c>
      <c r="M63" s="51">
        <f t="shared" ca="1" si="153"/>
        <v>2472549</v>
      </c>
      <c r="N63" s="51">
        <f t="shared" ca="1" si="153"/>
        <v>2138.326180836707</v>
      </c>
      <c r="O63" s="51">
        <f t="shared" ca="1" si="153"/>
        <v>3213779</v>
      </c>
      <c r="P63" s="51">
        <f t="shared" ca="1" si="153"/>
        <v>2562.1804861709256</v>
      </c>
      <c r="Q63" s="51">
        <f t="shared" ca="1" si="153"/>
        <v>1722585</v>
      </c>
      <c r="R63" s="51">
        <f t="shared" ca="1" si="153"/>
        <v>1323.9795215465638</v>
      </c>
      <c r="S63" s="51">
        <f t="shared" ca="1" si="153"/>
        <v>6672831</v>
      </c>
      <c r="T63" s="51">
        <f t="shared" ca="1" si="153"/>
        <v>5052.9263639425235</v>
      </c>
      <c r="U63" s="51">
        <f t="shared" ca="1" si="153"/>
        <v>1515152</v>
      </c>
      <c r="V63" s="51">
        <f t="shared" ca="1" si="153"/>
        <v>1114.0823529411764</v>
      </c>
      <c r="W63" s="51">
        <f t="shared" ca="1" si="153"/>
        <v>1259232</v>
      </c>
      <c r="X63" s="51">
        <f t="shared" ca="1" si="153"/>
        <v>0</v>
      </c>
      <c r="Y63" s="51">
        <f t="shared" ca="1" si="153"/>
        <v>1396232</v>
      </c>
      <c r="Z63" s="51">
        <f t="shared" ca="1" si="153"/>
        <v>1121.4714859437752</v>
      </c>
      <c r="AA63" s="52"/>
      <c r="AB63" s="78">
        <f ca="1">SUM(C63,E63,G63,I63,K63,M63,O63,Q63,S63,U63,W63,Y63)</f>
        <v>27337048</v>
      </c>
      <c r="AC63" s="78">
        <f ca="1">SUM(D63,F63,H63,L63,N63,P63,R63,T63,V63,X63,Z63)</f>
        <v>19601.574505056407</v>
      </c>
      <c r="AD63" s="41">
        <f ca="1">IFERROR(AB63/$AB$63,"")</f>
        <v>1</v>
      </c>
    </row>
    <row r="64" spans="2:30" x14ac:dyDescent="0.35">
      <c r="B64" s="1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4"/>
      <c r="AB64" s="53"/>
      <c r="AC64" s="53"/>
      <c r="AD64" s="15"/>
    </row>
    <row r="65" spans="2:30" x14ac:dyDescent="0.35">
      <c r="AD65" s="14"/>
    </row>
    <row r="66" spans="2:30" s="107" customFormat="1" x14ac:dyDescent="0.35">
      <c r="B66" s="16" t="s">
        <v>44</v>
      </c>
      <c r="C66" s="123">
        <f ca="1">INDIRECT(C5&amp;"!"&amp;"F2")</f>
        <v>2322120</v>
      </c>
      <c r="D66" s="123">
        <f ca="1">INDIRECT(C5&amp;"!"&amp;"G2")</f>
        <v>1934.8652443030528</v>
      </c>
      <c r="E66" s="123">
        <f ca="1">INDIRECT(E5&amp;"!"&amp;"F2")</f>
        <v>1205900</v>
      </c>
      <c r="F66" s="123">
        <f ca="1">INDIRECT(E5&amp;"!"&amp;"G2")</f>
        <v>1019.1231264883038</v>
      </c>
      <c r="G66" s="123">
        <f ca="1">INDIRECT(G5&amp;"!"&amp;"F2")</f>
        <v>2109040</v>
      </c>
      <c r="H66" s="123">
        <f ca="1">INDIRECT(G5&amp;"!"&amp;"G2")</f>
        <v>1753.9975206611571</v>
      </c>
      <c r="I66" s="123">
        <f ca="1">INDIRECT(I5&amp;"!"&amp;"F2")</f>
        <v>15165660</v>
      </c>
      <c r="J66" s="123">
        <f ca="1">INDIRECT(I5&amp;"!"&amp;"G2")</f>
        <v>11843.370491293532</v>
      </c>
      <c r="K66" s="123">
        <f ca="1">INDIRECT(K5&amp;"!"&amp;"F2")</f>
        <v>3108328</v>
      </c>
      <c r="L66" s="123">
        <f ca="1">INDIRECT(K5&amp;"!"&amp;"G2")</f>
        <v>2656.6905982905978</v>
      </c>
      <c r="M66" s="123">
        <f ca="1">INDIRECT(M5&amp;"!"&amp;"F2")</f>
        <v>3642549</v>
      </c>
      <c r="N66" s="123">
        <f ca="1">INDIRECT(M5&amp;"!"&amp;"G2")</f>
        <v>3138.3261808367074</v>
      </c>
      <c r="O66" s="123">
        <f ca="1">INDIRECT(O5&amp;"!"&amp;"F2")</f>
        <v>4428779</v>
      </c>
      <c r="P66" s="123">
        <f ca="1">INDIRECT(O5&amp;"!"&amp;"G2")</f>
        <v>3562.1804861709256</v>
      </c>
      <c r="Q66" s="123">
        <f ca="1">INDIRECT(Q5&amp;"!"&amp;"F2")</f>
        <v>3022585</v>
      </c>
      <c r="R66" s="123">
        <f ca="1">INDIRECT(Q5&amp;"!"&amp;"G2")</f>
        <v>2323.9795215465638</v>
      </c>
      <c r="S66" s="123">
        <f ca="1">INDIRECT(S5&amp;"!"&amp;"F2")</f>
        <v>7982831</v>
      </c>
      <c r="T66" s="123">
        <f ca="1">INDIRECT(S5&amp;"!"&amp;"G2")</f>
        <v>6052.9263639425235</v>
      </c>
      <c r="U66" s="123">
        <f ca="1">INDIRECT(U5&amp;"!"&amp;"F2")</f>
        <v>2875152</v>
      </c>
      <c r="V66" s="123">
        <f ca="1">INDIRECT(U5&amp;"!"&amp;"G2")</f>
        <v>2114.0823529411764</v>
      </c>
      <c r="W66" s="123">
        <f ca="1">INDIRECT(W5&amp;"!"&amp;"F2")</f>
        <v>1259232</v>
      </c>
      <c r="X66" s="123">
        <f ca="1">INDIRECT(W5&amp;"!"&amp;"G2")</f>
        <v>0</v>
      </c>
      <c r="Y66" s="123">
        <f ca="1">INDIRECT(Y5&amp;"!"&amp;"F2")</f>
        <v>1396232</v>
      </c>
      <c r="Z66" s="123">
        <f ca="1">INDIRECT(Y5&amp;"!"&amp;"G2")</f>
        <v>1121.4714859437752</v>
      </c>
      <c r="AA66" s="105"/>
      <c r="AB66" s="105"/>
      <c r="AC66" s="105"/>
      <c r="AD66" s="106"/>
    </row>
    <row r="67" spans="2:30" s="107" customFormat="1" x14ac:dyDescent="0.35">
      <c r="B67" s="16" t="s">
        <v>45</v>
      </c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05"/>
      <c r="AB67" s="105"/>
      <c r="AC67" s="105"/>
      <c r="AD67" s="106"/>
    </row>
    <row r="68" spans="2:30" ht="52.5" x14ac:dyDescent="0.35">
      <c r="B68" s="16" t="s">
        <v>49</v>
      </c>
      <c r="C68" s="60" t="str">
        <f ca="1">IF(AND(C63=0,C66=0),"",IF(C63&lt;&gt;C66,"Error: Sumas no coinciden","Ok"))</f>
        <v>Ok</v>
      </c>
      <c r="D68" s="60" t="str">
        <f t="shared" ref="D68:Z68" ca="1" si="154">IF(AND(D63=0,D66=0),"",IF(D63&lt;&gt;D66,"Error: Sumas no coinciden","Ok"))</f>
        <v>Ok</v>
      </c>
      <c r="E68" s="60" t="str">
        <f t="shared" ca="1" si="154"/>
        <v>Ok</v>
      </c>
      <c r="F68" s="60" t="str">
        <f t="shared" ca="1" si="154"/>
        <v>Ok</v>
      </c>
      <c r="G68" s="60" t="str">
        <f t="shared" ca="1" si="154"/>
        <v>Ok</v>
      </c>
      <c r="H68" s="60" t="str">
        <f t="shared" ca="1" si="154"/>
        <v>Ok</v>
      </c>
      <c r="I68" s="60" t="str">
        <f t="shared" ca="1" si="154"/>
        <v>Error: Sumas no coinciden</v>
      </c>
      <c r="J68" s="60" t="str">
        <f t="shared" ca="1" si="154"/>
        <v>Error: Sumas no coinciden</v>
      </c>
      <c r="K68" s="60" t="str">
        <f ca="1">IF(AND(K63=0,K66=0),"",IF(K63&lt;&gt;K66,"Error: Sumas no coinciden","Ok"))</f>
        <v>Error: Sumas no coinciden</v>
      </c>
      <c r="L68" s="60" t="str">
        <f t="shared" ca="1" si="154"/>
        <v>Error: Sumas no coinciden</v>
      </c>
      <c r="M68" s="60" t="str">
        <f t="shared" ca="1" si="154"/>
        <v>Error: Sumas no coinciden</v>
      </c>
      <c r="N68" s="60" t="str">
        <f t="shared" ca="1" si="154"/>
        <v>Error: Sumas no coinciden</v>
      </c>
      <c r="O68" s="60" t="str">
        <f t="shared" ca="1" si="154"/>
        <v>Error: Sumas no coinciden</v>
      </c>
      <c r="P68" s="60" t="str">
        <f t="shared" ca="1" si="154"/>
        <v>Error: Sumas no coinciden</v>
      </c>
      <c r="Q68" s="60" t="str">
        <f t="shared" ca="1" si="154"/>
        <v>Error: Sumas no coinciden</v>
      </c>
      <c r="R68" s="60" t="str">
        <f t="shared" ca="1" si="154"/>
        <v>Error: Sumas no coinciden</v>
      </c>
      <c r="S68" s="60" t="str">
        <f t="shared" ca="1" si="154"/>
        <v>Error: Sumas no coinciden</v>
      </c>
      <c r="T68" s="60" t="str">
        <f t="shared" ca="1" si="154"/>
        <v>Error: Sumas no coinciden</v>
      </c>
      <c r="U68" s="60" t="str">
        <f t="shared" ca="1" si="154"/>
        <v>Error: Sumas no coinciden</v>
      </c>
      <c r="V68" s="60" t="str">
        <f t="shared" ca="1" si="154"/>
        <v>Error: Sumas no coinciden</v>
      </c>
      <c r="W68" s="60" t="str">
        <f ca="1">IF(AND(W63=0,W66=0),"",IF(W63&lt;&gt;W66,"Error: Sumas no coinciden","Ok"))</f>
        <v>Ok</v>
      </c>
      <c r="X68" s="60" t="str">
        <f t="shared" ca="1" si="154"/>
        <v/>
      </c>
      <c r="Y68" s="60" t="str">
        <f t="shared" ca="1" si="154"/>
        <v>Ok</v>
      </c>
      <c r="Z68" s="60" t="str">
        <f t="shared" ca="1" si="154"/>
        <v>Ok</v>
      </c>
      <c r="AA68" s="55"/>
    </row>
    <row r="74" spans="2:30" x14ac:dyDescent="0.35">
      <c r="C74" s="61"/>
      <c r="D74" s="61"/>
      <c r="E74" s="61"/>
    </row>
  </sheetData>
  <mergeCells count="41">
    <mergeCell ref="D66:D67"/>
    <mergeCell ref="B4:B5"/>
    <mergeCell ref="AB4:AB5"/>
    <mergeCell ref="AD4:AD5"/>
    <mergeCell ref="C66:C67"/>
    <mergeCell ref="F66:F67"/>
    <mergeCell ref="H66:H67"/>
    <mergeCell ref="J66:J67"/>
    <mergeCell ref="L66:L67"/>
    <mergeCell ref="N66:N67"/>
    <mergeCell ref="P66:P67"/>
    <mergeCell ref="R66:R67"/>
    <mergeCell ref="T66:T67"/>
    <mergeCell ref="V66:V67"/>
    <mergeCell ref="X66:X67"/>
    <mergeCell ref="Z66:Z67"/>
    <mergeCell ref="C5:D5"/>
    <mergeCell ref="Y5:Z5"/>
    <mergeCell ref="AC4:AC5"/>
    <mergeCell ref="M5:N5"/>
    <mergeCell ref="O5:P5"/>
    <mergeCell ref="Q5:R5"/>
    <mergeCell ref="S5:T5"/>
    <mergeCell ref="U5:V5"/>
    <mergeCell ref="C4:Z4"/>
    <mergeCell ref="E5:F5"/>
    <mergeCell ref="G5:H5"/>
    <mergeCell ref="I5:J5"/>
    <mergeCell ref="K5:L5"/>
    <mergeCell ref="W5:X5"/>
    <mergeCell ref="G66:G67"/>
    <mergeCell ref="E66:E67"/>
    <mergeCell ref="I66:I67"/>
    <mergeCell ref="K66:K67"/>
    <mergeCell ref="M66:M67"/>
    <mergeCell ref="Y66:Y67"/>
    <mergeCell ref="O66:O67"/>
    <mergeCell ref="Q66:Q67"/>
    <mergeCell ref="S66:S67"/>
    <mergeCell ref="U66:U67"/>
    <mergeCell ref="W66:W67"/>
  </mergeCells>
  <phoneticPr fontId="0" type="noConversion"/>
  <conditionalFormatting sqref="C68:Z68">
    <cfRule type="containsText" dxfId="1" priority="1" operator="containsText" text="Error: Sumas no coinciden">
      <formula>NOT(ISERROR(SEARCH("Error: Sumas no coinciden",C68)))</formula>
    </cfRule>
    <cfRule type="containsText" dxfId="0" priority="2" operator="containsText" text="Ok">
      <formula>NOT(ISERROR(SEARCH("Ok",C68)))</formula>
    </cfRule>
  </conditionalFormatting>
  <pageMargins left="0.7" right="0.7" top="0.75" bottom="0.75" header="0.3" footer="0.3"/>
  <pageSetup paperSize="9" orientation="portrait" r:id="rId1"/>
  <ignoredErrors>
    <ignoredError sqref="C33 C45 C28 C24 C7 C58 C52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/>
  <dimension ref="B2:M23"/>
  <sheetViews>
    <sheetView showGridLines="0" zoomScale="90" zoomScaleNormal="90" workbookViewId="0">
      <selection activeCell="E15" sqref="E15"/>
    </sheetView>
  </sheetViews>
  <sheetFormatPr defaultColWidth="9.08984375" defaultRowHeight="14.5" x14ac:dyDescent="0.35"/>
  <cols>
    <col min="1" max="1" width="3.36328125" customWidth="1"/>
    <col min="2" max="2" width="20" customWidth="1"/>
    <col min="3" max="3" width="21.08984375" bestFit="1" customWidth="1"/>
    <col min="4" max="4" width="19.08984375" bestFit="1" customWidth="1"/>
    <col min="5" max="5" width="23.453125" bestFit="1" customWidth="1"/>
    <col min="6" max="6" width="19.36328125" bestFit="1" customWidth="1"/>
    <col min="7" max="7" width="21.6328125" bestFit="1" customWidth="1"/>
    <col min="8" max="8" width="18.1796875" bestFit="1" customWidth="1"/>
    <col min="9" max="9" width="23.453125" customWidth="1"/>
    <col min="10" max="10" width="21.08984375" bestFit="1" customWidth="1"/>
  </cols>
  <sheetData>
    <row r="2" spans="2:13" s="11" customFormat="1" ht="15.5" x14ac:dyDescent="0.35">
      <c r="B2" s="17"/>
      <c r="C2" s="17"/>
      <c r="D2" s="17"/>
      <c r="E2" s="17"/>
      <c r="F2" s="17"/>
      <c r="G2" s="17"/>
      <c r="H2" s="17"/>
      <c r="I2" s="17"/>
      <c r="J2" s="17"/>
      <c r="K2"/>
      <c r="L2"/>
      <c r="M2"/>
    </row>
    <row r="3" spans="2:13" s="11" customFormat="1" ht="30" customHeight="1" x14ac:dyDescent="0.35">
      <c r="B3" s="17"/>
      <c r="C3" s="17"/>
      <c r="D3" s="17"/>
      <c r="E3" s="17"/>
      <c r="F3" s="17"/>
      <c r="G3" s="17"/>
      <c r="H3" s="17"/>
      <c r="I3" s="17"/>
      <c r="J3" s="17"/>
      <c r="K3"/>
      <c r="L3"/>
      <c r="M3"/>
    </row>
    <row r="4" spans="2:13" ht="28.5" x14ac:dyDescent="0.45">
      <c r="B4" s="19" t="s">
        <v>46</v>
      </c>
      <c r="C4" s="18"/>
      <c r="D4" s="18"/>
      <c r="E4" s="18"/>
      <c r="F4" s="18"/>
      <c r="G4" s="18"/>
      <c r="H4" s="18"/>
      <c r="I4" s="18"/>
      <c r="J4" s="18"/>
    </row>
    <row r="5" spans="2:13" ht="18.5" x14ac:dyDescent="0.35">
      <c r="B5" s="20" t="s">
        <v>47</v>
      </c>
    </row>
    <row r="6" spans="2:13" ht="18.5" x14ac:dyDescent="0.35">
      <c r="B6" s="21" t="s">
        <v>0</v>
      </c>
      <c r="C6" s="21" t="s">
        <v>14</v>
      </c>
      <c r="D6" s="21" t="s">
        <v>8</v>
      </c>
      <c r="E6" s="21" t="s">
        <v>85</v>
      </c>
      <c r="F6" s="21" t="s">
        <v>11</v>
      </c>
      <c r="G6" s="21" t="s">
        <v>2</v>
      </c>
      <c r="H6" s="21" t="s">
        <v>1</v>
      </c>
      <c r="I6" s="21" t="s">
        <v>6</v>
      </c>
      <c r="K6" s="22"/>
    </row>
    <row r="7" spans="2:13" ht="11" customHeight="1" thickBot="1" x14ac:dyDescent="0.4"/>
    <row r="8" spans="2:13" ht="19" thickBot="1" x14ac:dyDescent="0.4">
      <c r="B8" s="24" t="s">
        <v>92</v>
      </c>
      <c r="C8" s="24" t="s">
        <v>3</v>
      </c>
      <c r="D8" s="24" t="s">
        <v>73</v>
      </c>
      <c r="E8" s="99" t="s">
        <v>97</v>
      </c>
      <c r="F8" s="24" t="s">
        <v>74</v>
      </c>
      <c r="G8" s="24" t="s">
        <v>27</v>
      </c>
      <c r="H8" s="24" t="s">
        <v>70</v>
      </c>
      <c r="I8" s="24" t="s">
        <v>57</v>
      </c>
    </row>
    <row r="9" spans="2:13" ht="19" thickBot="1" x14ac:dyDescent="0.4">
      <c r="B9" s="24" t="s">
        <v>88</v>
      </c>
      <c r="C9" s="24" t="s">
        <v>72</v>
      </c>
      <c r="D9" s="24" t="s">
        <v>76</v>
      </c>
      <c r="E9" s="99" t="s">
        <v>89</v>
      </c>
      <c r="F9" s="24" t="s">
        <v>68</v>
      </c>
      <c r="G9" s="24" t="s">
        <v>7</v>
      </c>
      <c r="H9" s="24" t="s">
        <v>71</v>
      </c>
      <c r="I9" s="24" t="s">
        <v>28</v>
      </c>
    </row>
    <row r="10" spans="2:13" ht="19" thickBot="1" x14ac:dyDescent="0.4">
      <c r="B10" s="24" t="s">
        <v>43</v>
      </c>
      <c r="C10" s="24" t="s">
        <v>38</v>
      </c>
      <c r="D10" s="24" t="s">
        <v>106</v>
      </c>
      <c r="E10" s="99" t="s">
        <v>82</v>
      </c>
      <c r="F10" s="24" t="s">
        <v>69</v>
      </c>
      <c r="G10" s="24" t="s">
        <v>40</v>
      </c>
      <c r="H10" s="24" t="s">
        <v>29</v>
      </c>
      <c r="I10" s="24" t="s">
        <v>9</v>
      </c>
    </row>
    <row r="11" spans="2:13" ht="19" thickBot="1" x14ac:dyDescent="0.4">
      <c r="B11" s="24"/>
      <c r="C11" s="24" t="s">
        <v>60</v>
      </c>
      <c r="D11" s="24" t="s">
        <v>41</v>
      </c>
      <c r="E11" s="24" t="s">
        <v>83</v>
      </c>
      <c r="F11" s="24" t="s">
        <v>31</v>
      </c>
      <c r="G11" s="24" t="s">
        <v>101</v>
      </c>
      <c r="H11" s="24"/>
      <c r="I11" s="24" t="s">
        <v>5</v>
      </c>
    </row>
    <row r="12" spans="2:13" ht="19" thickBot="1" x14ac:dyDescent="0.4">
      <c r="B12" s="24"/>
      <c r="C12" s="24" t="s">
        <v>80</v>
      </c>
      <c r="D12" s="24"/>
      <c r="E12" s="24" t="s">
        <v>90</v>
      </c>
      <c r="F12" s="24"/>
      <c r="G12" s="24" t="s">
        <v>58</v>
      </c>
      <c r="H12" s="24"/>
      <c r="I12" s="24" t="s">
        <v>12</v>
      </c>
    </row>
    <row r="13" spans="2:13" ht="19" thickBot="1" x14ac:dyDescent="0.4">
      <c r="B13" s="24"/>
      <c r="C13" s="24" t="s">
        <v>75</v>
      </c>
      <c r="D13" s="24"/>
      <c r="E13" s="24" t="s">
        <v>94</v>
      </c>
      <c r="F13" s="24"/>
      <c r="G13" s="24"/>
      <c r="H13" s="24"/>
      <c r="I13" s="24" t="s">
        <v>30</v>
      </c>
    </row>
    <row r="14" spans="2:13" ht="19" thickBot="1" x14ac:dyDescent="0.4">
      <c r="B14" s="24"/>
      <c r="C14" s="24" t="s">
        <v>10</v>
      </c>
      <c r="D14" s="24"/>
      <c r="E14" s="24" t="s">
        <v>162</v>
      </c>
      <c r="F14" s="24"/>
      <c r="G14" s="24"/>
      <c r="H14" s="24"/>
      <c r="I14" s="24"/>
    </row>
    <row r="15" spans="2:13" ht="19" thickBot="1" x14ac:dyDescent="0.4">
      <c r="B15" s="24"/>
      <c r="C15" s="24" t="s">
        <v>67</v>
      </c>
      <c r="D15" s="24"/>
      <c r="E15" s="24" t="s">
        <v>86</v>
      </c>
      <c r="F15" s="24"/>
      <c r="G15" s="24"/>
      <c r="H15" s="24"/>
      <c r="I15" s="24"/>
    </row>
    <row r="16" spans="2:13" ht="19" thickBot="1" x14ac:dyDescent="0.4">
      <c r="B16" s="24"/>
      <c r="C16" s="24" t="s">
        <v>4</v>
      </c>
      <c r="D16" s="24"/>
      <c r="E16" s="24"/>
      <c r="F16" s="24"/>
      <c r="G16" s="24"/>
      <c r="H16" s="24"/>
      <c r="I16" s="24"/>
    </row>
    <row r="17" spans="2:9" ht="19" thickBot="1" x14ac:dyDescent="0.4">
      <c r="B17" s="24"/>
      <c r="C17" s="24" t="s">
        <v>78</v>
      </c>
      <c r="D17" s="24"/>
      <c r="E17" s="24"/>
      <c r="F17" s="24"/>
      <c r="G17" s="24"/>
      <c r="H17" s="24"/>
      <c r="I17" s="24"/>
    </row>
    <row r="18" spans="2:9" ht="19" thickBot="1" x14ac:dyDescent="0.4">
      <c r="B18" s="24"/>
      <c r="C18" s="24" t="s">
        <v>76</v>
      </c>
      <c r="D18" s="24"/>
      <c r="E18" s="24"/>
      <c r="F18" s="24"/>
      <c r="G18" s="24"/>
      <c r="H18" s="24"/>
      <c r="I18" s="24"/>
    </row>
    <row r="19" spans="2:9" ht="19" thickBot="1" x14ac:dyDescent="0.4">
      <c r="B19" s="99"/>
      <c r="C19" s="24" t="s">
        <v>91</v>
      </c>
      <c r="D19" s="24"/>
      <c r="E19" s="24"/>
      <c r="F19" s="24"/>
      <c r="G19" s="24"/>
      <c r="H19" s="24"/>
      <c r="I19" s="24"/>
    </row>
    <row r="20" spans="2:9" ht="19" thickBot="1" x14ac:dyDescent="0.4">
      <c r="B20" s="24"/>
      <c r="C20" s="24" t="s">
        <v>81</v>
      </c>
      <c r="D20" s="101"/>
      <c r="E20" s="101"/>
      <c r="F20" s="101"/>
      <c r="G20" s="101"/>
      <c r="H20" s="101"/>
      <c r="I20" s="101"/>
    </row>
    <row r="21" spans="2:9" ht="19" thickBot="1" x14ac:dyDescent="0.4">
      <c r="B21" s="24"/>
      <c r="C21" s="24" t="s">
        <v>33</v>
      </c>
      <c r="D21" s="23"/>
      <c r="E21" s="23"/>
      <c r="F21" s="23"/>
      <c r="G21" s="23"/>
      <c r="H21" s="23"/>
      <c r="I21" s="23"/>
    </row>
    <row r="22" spans="2:9" ht="19" thickBot="1" x14ac:dyDescent="0.4">
      <c r="B22" s="24"/>
      <c r="C22" s="24" t="s">
        <v>32</v>
      </c>
    </row>
    <row r="23" spans="2:9" ht="19" thickBot="1" x14ac:dyDescent="0.4">
      <c r="B23" s="24"/>
    </row>
  </sheetData>
  <phoneticPr fontId="0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/>
  <dimension ref="B1:J99"/>
  <sheetViews>
    <sheetView showGridLines="0" zoomScale="110" zoomScaleNormal="110" workbookViewId="0">
      <pane ySplit="5" topLeftCell="A22" activePane="bottomLeft" state="frozen"/>
      <selection pane="bottomLeft" activeCell="C41" sqref="C41"/>
    </sheetView>
  </sheetViews>
  <sheetFormatPr defaultColWidth="9.08984375" defaultRowHeight="14.5" x14ac:dyDescent="0.35"/>
  <cols>
    <col min="1" max="1" width="5.54296875" customWidth="1"/>
    <col min="2" max="2" width="23.08984375" customWidth="1"/>
    <col min="3" max="3" width="26.54296875" customWidth="1"/>
    <col min="4" max="4" width="12.6328125" style="2" customWidth="1"/>
    <col min="5" max="5" width="37" customWidth="1"/>
    <col min="6" max="8" width="17.36328125" style="3" customWidth="1"/>
    <col min="9" max="9" width="9.08984375" style="2" customWidth="1"/>
    <col min="10" max="10" width="16.54296875" bestFit="1" customWidth="1"/>
    <col min="11" max="11" width="11.90625" bestFit="1" customWidth="1"/>
    <col min="12" max="12" width="15.54296875" bestFit="1" customWidth="1"/>
  </cols>
  <sheetData>
    <row r="1" spans="2:10" s="4" customFormat="1" ht="18.5" x14ac:dyDescent="0.45">
      <c r="B1" s="25" t="s">
        <v>34</v>
      </c>
      <c r="C1" s="25"/>
      <c r="D1" s="25"/>
      <c r="E1" s="25"/>
      <c r="F1" s="137" t="s">
        <v>15</v>
      </c>
      <c r="G1" s="137"/>
      <c r="H1" s="137"/>
      <c r="I1" s="5"/>
    </row>
    <row r="2" spans="2:10" s="6" customFormat="1" x14ac:dyDescent="0.35">
      <c r="B2" s="2"/>
      <c r="D2" s="8"/>
      <c r="E2" s="27" t="s">
        <v>59</v>
      </c>
      <c r="F2" s="28">
        <f>SUM(Enero[ARS])</f>
        <v>2322120</v>
      </c>
      <c r="G2" s="28">
        <f>SUM(Enero[USD])</f>
        <v>1934.8652443030528</v>
      </c>
      <c r="H2" s="28"/>
      <c r="I2" s="8"/>
    </row>
    <row r="3" spans="2:10" s="6" customFormat="1" x14ac:dyDescent="0.35">
      <c r="B3" s="2"/>
      <c r="D3" s="8"/>
      <c r="E3" s="27" t="s">
        <v>65</v>
      </c>
      <c r="F3" s="28">
        <f>MAX(Enero[ARS])</f>
        <v>750000</v>
      </c>
      <c r="G3" s="28">
        <f>MAX(Enero[USD])</f>
        <v>627.61506276150624</v>
      </c>
      <c r="H3" s="28">
        <f>MAX(Enero[COTIZACION])</f>
        <v>1210</v>
      </c>
      <c r="I3" s="8"/>
    </row>
    <row r="4" spans="2:10" s="6" customFormat="1" x14ac:dyDescent="0.35">
      <c r="B4" s="2"/>
      <c r="D4" s="8"/>
      <c r="E4" s="27" t="s">
        <v>66</v>
      </c>
      <c r="F4" s="28">
        <f>MIN(Enero[ARS])</f>
        <v>3000</v>
      </c>
      <c r="G4" s="28">
        <f>MIN(Enero[USD])</f>
        <v>2.4793388429752068</v>
      </c>
      <c r="H4" s="28">
        <f>MIN(Enero[COTIZACION])</f>
        <v>1195</v>
      </c>
      <c r="I4" s="8"/>
    </row>
    <row r="5" spans="2:10" s="33" customFormat="1" ht="15.5" x14ac:dyDescent="0.35">
      <c r="B5" s="31" t="s">
        <v>35</v>
      </c>
      <c r="C5" s="31" t="s">
        <v>36</v>
      </c>
      <c r="D5" s="31" t="s">
        <v>37</v>
      </c>
      <c r="E5" s="31" t="s">
        <v>13</v>
      </c>
      <c r="F5" s="31" t="s">
        <v>64</v>
      </c>
      <c r="G5" s="67" t="s">
        <v>63</v>
      </c>
      <c r="H5" s="67" t="s">
        <v>62</v>
      </c>
      <c r="I5" s="34"/>
      <c r="J5" s="11"/>
    </row>
    <row r="6" spans="2:10" ht="15.5" x14ac:dyDescent="0.35">
      <c r="B6" s="9" t="s">
        <v>14</v>
      </c>
      <c r="C6" s="9" t="s">
        <v>33</v>
      </c>
      <c r="D6" s="1">
        <v>45689</v>
      </c>
      <c r="E6" s="9" t="s">
        <v>79</v>
      </c>
      <c r="F6" s="10">
        <v>31000</v>
      </c>
      <c r="G6" s="65">
        <f>IF(Enero[[#This Row],[COTIZACION]]="", "", Enero[[#This Row],[ARS]]/Enero[[#This Row],[COTIZACION]])</f>
        <v>25.619834710743802</v>
      </c>
      <c r="H6" s="65">
        <v>1210</v>
      </c>
    </row>
    <row r="7" spans="2:10" ht="15.5" x14ac:dyDescent="0.35">
      <c r="B7" s="96" t="s">
        <v>14</v>
      </c>
      <c r="C7" s="96" t="s">
        <v>67</v>
      </c>
      <c r="D7" s="97">
        <v>45839</v>
      </c>
      <c r="E7" s="96" t="s">
        <v>113</v>
      </c>
      <c r="F7" s="98">
        <v>43000</v>
      </c>
      <c r="G7" s="98">
        <f>IF(Enero[[#This Row],[COTIZACION]]="", "", Enero[[#This Row],[ARS]]/Enero[[#This Row],[COTIZACION]])</f>
        <v>35.537190082644628</v>
      </c>
      <c r="H7" s="98">
        <v>1210</v>
      </c>
    </row>
    <row r="8" spans="2:10" ht="15.5" x14ac:dyDescent="0.35">
      <c r="B8" s="68" t="s">
        <v>8</v>
      </c>
      <c r="C8" s="68" t="s">
        <v>76</v>
      </c>
      <c r="D8" s="1">
        <v>45689</v>
      </c>
      <c r="E8" s="9" t="s">
        <v>105</v>
      </c>
      <c r="F8" s="64">
        <v>8000</v>
      </c>
      <c r="G8" s="65">
        <f>IF(Enero[[#This Row],[COTIZACION]]="", "", Enero[[#This Row],[ARS]]/Enero[[#This Row],[COTIZACION]])</f>
        <v>6.6115702479338845</v>
      </c>
      <c r="H8" s="64">
        <v>1210</v>
      </c>
    </row>
    <row r="9" spans="2:10" ht="15.5" x14ac:dyDescent="0.35">
      <c r="B9" s="96" t="s">
        <v>0</v>
      </c>
      <c r="C9" s="96" t="s">
        <v>92</v>
      </c>
      <c r="D9" s="97">
        <v>45931</v>
      </c>
      <c r="E9" s="96" t="s">
        <v>115</v>
      </c>
      <c r="F9" s="98">
        <v>80000</v>
      </c>
      <c r="G9" s="98">
        <f>IF(Enero[[#This Row],[COTIZACION]]="", "", Enero[[#This Row],[ARS]]/Enero[[#This Row],[COTIZACION]])</f>
        <v>66.945606694560666</v>
      </c>
      <c r="H9" s="98">
        <v>1195</v>
      </c>
    </row>
    <row r="10" spans="2:10" ht="15.5" x14ac:dyDescent="0.35">
      <c r="B10" s="96" t="s">
        <v>14</v>
      </c>
      <c r="C10" s="96" t="s">
        <v>75</v>
      </c>
      <c r="D10" s="97" t="s">
        <v>114</v>
      </c>
      <c r="E10" s="96" t="s">
        <v>102</v>
      </c>
      <c r="F10" s="98">
        <v>125000</v>
      </c>
      <c r="G10" s="98">
        <f>IF(Enero[[#This Row],[COTIZACION]]="", "", Enero[[#This Row],[ARS]]/Enero[[#This Row],[COTIZACION]])</f>
        <v>104.60251046025104</v>
      </c>
      <c r="H10" s="98">
        <v>1195</v>
      </c>
    </row>
    <row r="11" spans="2:10" ht="15.5" x14ac:dyDescent="0.35">
      <c r="B11" s="96" t="s">
        <v>8</v>
      </c>
      <c r="C11" s="96" t="s">
        <v>73</v>
      </c>
      <c r="D11" s="97" t="s">
        <v>114</v>
      </c>
      <c r="E11" s="96" t="s">
        <v>119</v>
      </c>
      <c r="F11" s="98">
        <v>164000</v>
      </c>
      <c r="G11" s="98">
        <f>IF(Enero[[#This Row],[COTIZACION]]="", "", Enero[[#This Row],[ARS]]/Enero[[#This Row],[COTIZACION]])</f>
        <v>137.23849372384936</v>
      </c>
      <c r="H11" s="98">
        <v>1195</v>
      </c>
    </row>
    <row r="12" spans="2:10" ht="15.5" x14ac:dyDescent="0.35">
      <c r="B12" s="96" t="s">
        <v>8</v>
      </c>
      <c r="C12" s="96" t="s">
        <v>73</v>
      </c>
      <c r="D12" s="97" t="s">
        <v>122</v>
      </c>
      <c r="E12" s="96" t="s">
        <v>120</v>
      </c>
      <c r="F12" s="98">
        <v>118000</v>
      </c>
      <c r="G12" s="98">
        <f>IF(Enero[[#This Row],[COTIZACION]]="", "", Enero[[#This Row],[ARS]]/Enero[[#This Row],[COTIZACION]])</f>
        <v>98.744769874476987</v>
      </c>
      <c r="H12" s="98">
        <v>1195</v>
      </c>
    </row>
    <row r="13" spans="2:10" ht="15.5" x14ac:dyDescent="0.35">
      <c r="B13" s="96" t="s">
        <v>14</v>
      </c>
      <c r="C13" s="96" t="s">
        <v>10</v>
      </c>
      <c r="D13" s="97" t="s">
        <v>121</v>
      </c>
      <c r="E13" s="96" t="s">
        <v>103</v>
      </c>
      <c r="F13" s="98">
        <v>27000</v>
      </c>
      <c r="G13" s="98">
        <f>IF(Enero[[#This Row],[COTIZACION]]="", "", Enero[[#This Row],[ARS]]/Enero[[#This Row],[COTIZACION]])</f>
        <v>22.594142259414227</v>
      </c>
      <c r="H13" s="98">
        <v>1195</v>
      </c>
    </row>
    <row r="14" spans="2:10" ht="15.5" x14ac:dyDescent="0.35">
      <c r="B14" s="9" t="s">
        <v>8</v>
      </c>
      <c r="C14" s="9" t="s">
        <v>106</v>
      </c>
      <c r="D14" s="1">
        <v>45689</v>
      </c>
      <c r="E14" s="9" t="s">
        <v>107</v>
      </c>
      <c r="F14" s="10">
        <v>147620</v>
      </c>
      <c r="G14" s="64">
        <f>IF(Enero[[#This Row],[COTIZACION]]="", "", Enero[[#This Row],[ARS]]/Enero[[#This Row],[COTIZACION]])</f>
        <v>122</v>
      </c>
      <c r="H14" s="64">
        <v>1210</v>
      </c>
    </row>
    <row r="15" spans="2:10" ht="15.5" x14ac:dyDescent="0.35">
      <c r="B15" s="9" t="s">
        <v>14</v>
      </c>
      <c r="C15" s="9" t="s">
        <v>33</v>
      </c>
      <c r="D15" s="1">
        <v>45717</v>
      </c>
      <c r="E15" s="9" t="s">
        <v>108</v>
      </c>
      <c r="F15" s="10">
        <v>75000</v>
      </c>
      <c r="G15" s="64">
        <f>IF(Enero[[#This Row],[COTIZACION]]="", "", Enero[[#This Row],[ARS]]/Enero[[#This Row],[COTIZACION]])</f>
        <v>61.983471074380162</v>
      </c>
      <c r="H15" s="64">
        <v>1210</v>
      </c>
    </row>
    <row r="16" spans="2:10" ht="15.5" x14ac:dyDescent="0.35">
      <c r="B16" s="9" t="s">
        <v>11</v>
      </c>
      <c r="C16" s="9" t="s">
        <v>68</v>
      </c>
      <c r="D16" s="1">
        <v>45748</v>
      </c>
      <c r="E16" s="9" t="s">
        <v>110</v>
      </c>
      <c r="F16" s="10">
        <v>25000</v>
      </c>
      <c r="G16" s="64">
        <f>IF(Enero[[#This Row],[COTIZACION]]="", "", Enero[[#This Row],[ARS]]/Enero[[#This Row],[COTIZACION]])</f>
        <v>20.66115702479339</v>
      </c>
      <c r="H16" s="64">
        <v>1210</v>
      </c>
    </row>
    <row r="17" spans="2:8" ht="15.5" x14ac:dyDescent="0.35">
      <c r="B17" s="9" t="s">
        <v>1</v>
      </c>
      <c r="C17" s="9" t="s">
        <v>70</v>
      </c>
      <c r="D17" s="1">
        <v>45748</v>
      </c>
      <c r="E17" s="9" t="s">
        <v>109</v>
      </c>
      <c r="F17" s="10">
        <v>3000</v>
      </c>
      <c r="G17" s="64">
        <f>IF(Enero[[#This Row],[COTIZACION]]="", "", Enero[[#This Row],[ARS]]/Enero[[#This Row],[COTIZACION]])</f>
        <v>2.4793388429752068</v>
      </c>
      <c r="H17" s="64">
        <v>1210</v>
      </c>
    </row>
    <row r="18" spans="2:8" ht="15.5" x14ac:dyDescent="0.35">
      <c r="B18" s="9" t="s">
        <v>14</v>
      </c>
      <c r="C18" s="9" t="s">
        <v>72</v>
      </c>
      <c r="D18" s="1">
        <v>45778</v>
      </c>
      <c r="E18" s="9" t="s">
        <v>111</v>
      </c>
      <c r="F18" s="10">
        <v>450000</v>
      </c>
      <c r="G18" s="64">
        <f>IF(Enero[[#This Row],[COTIZACION]]="", "", Enero[[#This Row],[ARS]]/Enero[[#This Row],[COTIZACION]])</f>
        <v>371.90082644628097</v>
      </c>
      <c r="H18" s="64">
        <v>1210</v>
      </c>
    </row>
    <row r="19" spans="2:8" ht="15.5" x14ac:dyDescent="0.35">
      <c r="B19" s="9" t="s">
        <v>6</v>
      </c>
      <c r="C19" s="9" t="s">
        <v>12</v>
      </c>
      <c r="D19" s="1">
        <v>45778</v>
      </c>
      <c r="E19" s="9" t="s">
        <v>112</v>
      </c>
      <c r="F19" s="10">
        <v>8500</v>
      </c>
      <c r="G19" s="64">
        <f>IF(Enero[[#This Row],[COTIZACION]]="", "", Enero[[#This Row],[ARS]]/Enero[[#This Row],[COTIZACION]])</f>
        <v>7.0247933884297522</v>
      </c>
      <c r="H19" s="64">
        <v>1210</v>
      </c>
    </row>
    <row r="20" spans="2:8" ht="15.5" x14ac:dyDescent="0.35">
      <c r="B20" s="9" t="s">
        <v>14</v>
      </c>
      <c r="C20" s="9" t="s">
        <v>33</v>
      </c>
      <c r="D20" s="1">
        <v>45778</v>
      </c>
      <c r="E20" s="9" t="s">
        <v>79</v>
      </c>
      <c r="F20" s="10">
        <v>12000</v>
      </c>
      <c r="G20" s="64">
        <f>IF(Enero[[#This Row],[COTIZACION]]="", "", Enero[[#This Row],[ARS]]/Enero[[#This Row],[COTIZACION]])</f>
        <v>9.9173553719008272</v>
      </c>
      <c r="H20" s="64">
        <v>1210</v>
      </c>
    </row>
    <row r="21" spans="2:8" ht="15.5" x14ac:dyDescent="0.35">
      <c r="B21" s="9" t="s">
        <v>14</v>
      </c>
      <c r="C21" s="9" t="s">
        <v>33</v>
      </c>
      <c r="D21" s="1">
        <v>45870</v>
      </c>
      <c r="E21" s="9" t="s">
        <v>79</v>
      </c>
      <c r="F21" s="98">
        <v>83000</v>
      </c>
      <c r="G21" s="98">
        <f>IF(Enero[[#This Row],[COTIZACION]]="", "", Enero[[#This Row],[ARS]]/Enero[[#This Row],[COTIZACION]])</f>
        <v>69.456066945606693</v>
      </c>
      <c r="H21" s="98">
        <v>1195</v>
      </c>
    </row>
    <row r="22" spans="2:8" ht="15.5" x14ac:dyDescent="0.35">
      <c r="B22" s="9" t="s">
        <v>14</v>
      </c>
      <c r="C22" s="9" t="s">
        <v>33</v>
      </c>
      <c r="D22" s="1" t="s">
        <v>114</v>
      </c>
      <c r="E22" s="9" t="s">
        <v>116</v>
      </c>
      <c r="F22" s="10">
        <v>6000</v>
      </c>
      <c r="G22" s="64">
        <f>IF(Enero[[#This Row],[COTIZACION]]="", "", Enero[[#This Row],[ARS]]/Enero[[#This Row],[COTIZACION]])</f>
        <v>5.02092050209205</v>
      </c>
      <c r="H22" s="64">
        <v>1195</v>
      </c>
    </row>
    <row r="23" spans="2:8" ht="15.5" x14ac:dyDescent="0.35">
      <c r="B23" s="9" t="s">
        <v>11</v>
      </c>
      <c r="C23" s="9" t="s">
        <v>69</v>
      </c>
      <c r="D23" s="1" t="s">
        <v>121</v>
      </c>
      <c r="E23" s="9" t="s">
        <v>124</v>
      </c>
      <c r="F23" s="10">
        <v>47000</v>
      </c>
      <c r="G23" s="64">
        <f>IF(Enero[[#This Row],[COTIZACION]]="", "", Enero[[#This Row],[ARS]]/Enero[[#This Row],[COTIZACION]])</f>
        <v>39.330543933054393</v>
      </c>
      <c r="H23" s="64">
        <v>1195</v>
      </c>
    </row>
    <row r="24" spans="2:8" ht="15.5" x14ac:dyDescent="0.35">
      <c r="B24" s="9" t="s">
        <v>11</v>
      </c>
      <c r="C24" s="9" t="s">
        <v>74</v>
      </c>
      <c r="D24" s="1" t="s">
        <v>125</v>
      </c>
      <c r="E24" s="9" t="s">
        <v>126</v>
      </c>
      <c r="F24" s="10">
        <v>750000</v>
      </c>
      <c r="G24" s="64">
        <f>IF(Enero[[#This Row],[COTIZACION]]="", "", Enero[[#This Row],[ARS]]/Enero[[#This Row],[COTIZACION]])</f>
        <v>627.61506276150624</v>
      </c>
      <c r="H24" s="64">
        <v>1195</v>
      </c>
    </row>
    <row r="25" spans="2:8" ht="15.5" x14ac:dyDescent="0.35">
      <c r="B25" s="9" t="s">
        <v>11</v>
      </c>
      <c r="C25" s="9" t="s">
        <v>68</v>
      </c>
      <c r="D25" s="1" t="s">
        <v>125</v>
      </c>
      <c r="E25" s="9" t="s">
        <v>127</v>
      </c>
      <c r="F25" s="10">
        <v>16000</v>
      </c>
      <c r="G25" s="64">
        <f>IF(Enero[[#This Row],[COTIZACION]]="", "", Enero[[#This Row],[ARS]]/Enero[[#This Row],[COTIZACION]])</f>
        <v>13.389121338912133</v>
      </c>
      <c r="H25" s="64">
        <v>1195</v>
      </c>
    </row>
    <row r="26" spans="2:8" ht="15.5" x14ac:dyDescent="0.35">
      <c r="B26" s="9" t="s">
        <v>1</v>
      </c>
      <c r="C26" s="9" t="s">
        <v>70</v>
      </c>
      <c r="D26" s="1" t="s">
        <v>125</v>
      </c>
      <c r="E26" s="9" t="s">
        <v>109</v>
      </c>
      <c r="F26" s="10">
        <v>3000</v>
      </c>
      <c r="G26" s="64">
        <f>IF(Enero[[#This Row],[COTIZACION]]="", "", Enero[[#This Row],[ARS]]/Enero[[#This Row],[COTIZACION]])</f>
        <v>2.510460251046025</v>
      </c>
      <c r="H26" s="64">
        <v>1195</v>
      </c>
    </row>
    <row r="27" spans="2:8" ht="15.5" x14ac:dyDescent="0.35">
      <c r="B27" s="9" t="s">
        <v>14</v>
      </c>
      <c r="C27" s="9" t="s">
        <v>33</v>
      </c>
      <c r="D27" s="1" t="s">
        <v>128</v>
      </c>
      <c r="E27" s="9" t="s">
        <v>79</v>
      </c>
      <c r="F27" s="10">
        <v>100000</v>
      </c>
      <c r="G27" s="64">
        <f>IF(Enero[[#This Row],[COTIZACION]]="", "", Enero[[#This Row],[ARS]]/Enero[[#This Row],[COTIZACION]])</f>
        <v>83.68200836820084</v>
      </c>
      <c r="H27" s="64">
        <v>1195</v>
      </c>
    </row>
    <row r="28" spans="2:8" ht="15.5" x14ac:dyDescent="0.35">
      <c r="B28" s="9"/>
      <c r="C28" s="9"/>
      <c r="D28" s="1"/>
      <c r="E28" s="9"/>
      <c r="F28" s="10"/>
      <c r="G28" s="64" t="str">
        <f>IF(Enero[[#This Row],[COTIZACION]]="", "", Enero[[#This Row],[ARS]]/Enero[[#This Row],[COTIZACION]])</f>
        <v/>
      </c>
      <c r="H28" s="64"/>
    </row>
    <row r="29" spans="2:8" ht="15.5" x14ac:dyDescent="0.35">
      <c r="B29" s="9"/>
      <c r="C29" s="9"/>
      <c r="D29" s="1"/>
      <c r="E29" s="9"/>
      <c r="F29" s="10"/>
      <c r="G29" s="64" t="str">
        <f>IF(Enero[[#This Row],[COTIZACION]]="", "", Enero[[#This Row],[ARS]]/Enero[[#This Row],[COTIZACION]])</f>
        <v/>
      </c>
      <c r="H29" s="64"/>
    </row>
    <row r="30" spans="2:8" ht="15.5" x14ac:dyDescent="0.35">
      <c r="B30" s="9"/>
      <c r="C30" s="9"/>
      <c r="D30" s="1"/>
      <c r="E30" s="9"/>
      <c r="F30" s="10"/>
      <c r="G30" s="64" t="str">
        <f>IF(Enero[[#This Row],[COTIZACION]]="", "", Enero[[#This Row],[ARS]]/Enero[[#This Row],[COTIZACION]])</f>
        <v/>
      </c>
      <c r="H30" s="64"/>
    </row>
    <row r="31" spans="2:8" ht="15.5" x14ac:dyDescent="0.35">
      <c r="B31" s="9"/>
      <c r="C31" s="9"/>
      <c r="D31" s="1"/>
      <c r="E31" s="9"/>
      <c r="F31" s="10"/>
      <c r="G31" s="64" t="str">
        <f>IF(Enero[[#This Row],[COTIZACION]]="", "", Enero[[#This Row],[ARS]]/Enero[[#This Row],[COTIZACION]])</f>
        <v/>
      </c>
      <c r="H31" s="64"/>
    </row>
    <row r="32" spans="2:8" ht="15.5" x14ac:dyDescent="0.35">
      <c r="B32" s="9"/>
      <c r="C32" s="9"/>
      <c r="D32" s="1"/>
      <c r="E32" s="9"/>
      <c r="F32" s="10"/>
      <c r="G32" s="64" t="str">
        <f>IF(Enero[[#This Row],[COTIZACION]]="", "", Enero[[#This Row],[ARS]]/Enero[[#This Row],[COTIZACION]])</f>
        <v/>
      </c>
      <c r="H32" s="64"/>
    </row>
    <row r="33" spans="2:8" ht="15.5" x14ac:dyDescent="0.35">
      <c r="B33" s="9"/>
      <c r="C33" s="9"/>
      <c r="D33" s="1"/>
      <c r="E33" s="9"/>
      <c r="F33" s="10"/>
      <c r="G33" s="64" t="str">
        <f>IF(Enero[[#This Row],[COTIZACION]]="", "", Enero[[#This Row],[ARS]]/Enero[[#This Row],[COTIZACION]])</f>
        <v/>
      </c>
      <c r="H33" s="64"/>
    </row>
    <row r="34" spans="2:8" ht="15.5" x14ac:dyDescent="0.35">
      <c r="B34" s="9"/>
      <c r="C34" s="9"/>
      <c r="D34" s="1"/>
      <c r="E34" s="9"/>
      <c r="F34" s="10"/>
      <c r="G34" s="64" t="str">
        <f>IF(Enero[[#This Row],[COTIZACION]]="", "", Enero[[#This Row],[ARS]]/Enero[[#This Row],[COTIZACION]])</f>
        <v/>
      </c>
      <c r="H34" s="64"/>
    </row>
    <row r="35" spans="2:8" ht="15.5" x14ac:dyDescent="0.35">
      <c r="B35" s="9"/>
      <c r="C35" s="9"/>
      <c r="D35" s="1"/>
      <c r="E35" s="9"/>
      <c r="F35" s="10"/>
      <c r="G35" s="64" t="str">
        <f>IF(Enero[[#This Row],[COTIZACION]]="", "", Enero[[#This Row],[ARS]]/Enero[[#This Row],[COTIZACION]])</f>
        <v/>
      </c>
      <c r="H35" s="64"/>
    </row>
    <row r="36" spans="2:8" ht="15.5" x14ac:dyDescent="0.35">
      <c r="B36" s="9"/>
      <c r="C36" s="9"/>
      <c r="D36" s="1"/>
      <c r="E36" s="9"/>
      <c r="F36" s="10"/>
      <c r="G36" s="64" t="str">
        <f>IF(Enero[[#This Row],[COTIZACION]]="", "", Enero[[#This Row],[ARS]]/Enero[[#This Row],[COTIZACION]])</f>
        <v/>
      </c>
      <c r="H36" s="64"/>
    </row>
    <row r="37" spans="2:8" ht="15.5" x14ac:dyDescent="0.35">
      <c r="B37" s="9"/>
      <c r="C37" s="9"/>
      <c r="D37" s="1"/>
      <c r="E37" s="9"/>
      <c r="F37" s="10"/>
      <c r="G37" s="64" t="str">
        <f>IF(Enero[[#This Row],[COTIZACION]]="", "", Enero[[#This Row],[ARS]]/Enero[[#This Row],[COTIZACION]])</f>
        <v/>
      </c>
      <c r="H37" s="64"/>
    </row>
    <row r="38" spans="2:8" ht="15.5" x14ac:dyDescent="0.35">
      <c r="B38" s="9"/>
      <c r="C38" s="9"/>
      <c r="D38" s="1"/>
      <c r="E38" s="9"/>
      <c r="F38" s="10"/>
      <c r="G38" s="64" t="str">
        <f>IF(Enero[[#This Row],[COTIZACION]]="", "", Enero[[#This Row],[ARS]]/Enero[[#This Row],[COTIZACION]])</f>
        <v/>
      </c>
      <c r="H38" s="64"/>
    </row>
    <row r="39" spans="2:8" ht="15.5" x14ac:dyDescent="0.35">
      <c r="B39" s="9"/>
      <c r="C39" s="9"/>
      <c r="D39" s="1"/>
      <c r="E39" s="9"/>
      <c r="F39" s="10"/>
      <c r="G39" s="64" t="str">
        <f>IF(Enero[[#This Row],[COTIZACION]]="", "", Enero[[#This Row],[ARS]]/Enero[[#This Row],[COTIZACION]])</f>
        <v/>
      </c>
      <c r="H39" s="64"/>
    </row>
    <row r="40" spans="2:8" ht="15.5" x14ac:dyDescent="0.35">
      <c r="B40" s="9"/>
      <c r="C40" s="9"/>
      <c r="D40" s="1"/>
      <c r="E40" s="9"/>
      <c r="F40" s="10"/>
      <c r="G40" s="64" t="str">
        <f>IF(Enero[[#This Row],[COTIZACION]]="", "", Enero[[#This Row],[ARS]]/Enero[[#This Row],[COTIZACION]])</f>
        <v/>
      </c>
      <c r="H40" s="64"/>
    </row>
    <row r="41" spans="2:8" ht="15.5" x14ac:dyDescent="0.35">
      <c r="B41" s="9"/>
      <c r="C41" s="9"/>
      <c r="D41" s="1"/>
      <c r="E41" s="9"/>
      <c r="F41" s="10"/>
      <c r="G41" s="64" t="str">
        <f>IF(Enero[[#This Row],[COTIZACION]]="", "", Enero[[#This Row],[ARS]]/Enero[[#This Row],[COTIZACION]])</f>
        <v/>
      </c>
      <c r="H41" s="64"/>
    </row>
    <row r="42" spans="2:8" ht="15.5" x14ac:dyDescent="0.35">
      <c r="B42" s="9"/>
      <c r="C42" s="9"/>
      <c r="D42" s="1"/>
      <c r="E42" s="9"/>
      <c r="F42" s="10"/>
      <c r="G42" s="64" t="str">
        <f>IF(Enero[[#This Row],[COTIZACION]]="", "", Enero[[#This Row],[ARS]]/Enero[[#This Row],[COTIZACION]])</f>
        <v/>
      </c>
      <c r="H42" s="64"/>
    </row>
    <row r="43" spans="2:8" ht="15.5" x14ac:dyDescent="0.35">
      <c r="B43" s="9"/>
      <c r="C43" s="9"/>
      <c r="D43" s="1"/>
      <c r="E43" s="9"/>
      <c r="F43" s="10"/>
      <c r="G43" s="64" t="str">
        <f>IF(Enero[[#This Row],[COTIZACION]]="", "", Enero[[#This Row],[ARS]]/Enero[[#This Row],[COTIZACION]])</f>
        <v/>
      </c>
      <c r="H43" s="64"/>
    </row>
    <row r="44" spans="2:8" ht="15.5" x14ac:dyDescent="0.35">
      <c r="B44" s="9"/>
      <c r="C44" s="9"/>
      <c r="D44" s="1"/>
      <c r="E44" s="9"/>
      <c r="F44" s="10"/>
      <c r="G44" s="64" t="str">
        <f>IF(Enero[[#This Row],[COTIZACION]]="", "", Enero[[#This Row],[ARS]]/Enero[[#This Row],[COTIZACION]])</f>
        <v/>
      </c>
      <c r="H44" s="64"/>
    </row>
    <row r="45" spans="2:8" ht="15.5" x14ac:dyDescent="0.35">
      <c r="B45" s="9"/>
      <c r="C45" s="9"/>
      <c r="D45" s="1"/>
      <c r="E45" s="9"/>
      <c r="F45" s="10"/>
      <c r="G45" s="64" t="str">
        <f>IF(Enero[[#This Row],[COTIZACION]]="", "", Enero[[#This Row],[ARS]]/Enero[[#This Row],[COTIZACION]])</f>
        <v/>
      </c>
      <c r="H45" s="64"/>
    </row>
    <row r="46" spans="2:8" ht="15.5" x14ac:dyDescent="0.35">
      <c r="B46" s="9"/>
      <c r="C46" s="9"/>
      <c r="D46" s="1"/>
      <c r="E46" s="9"/>
      <c r="F46" s="10"/>
      <c r="G46" s="64" t="str">
        <f>IF(Enero[[#This Row],[COTIZACION]]="", "", Enero[[#This Row],[ARS]]/Enero[[#This Row],[COTIZACION]])</f>
        <v/>
      </c>
      <c r="H46" s="64"/>
    </row>
    <row r="47" spans="2:8" ht="15.5" x14ac:dyDescent="0.35">
      <c r="B47" s="9"/>
      <c r="C47" s="9"/>
      <c r="D47" s="1"/>
      <c r="E47" s="9"/>
      <c r="F47" s="10"/>
      <c r="G47" s="64" t="str">
        <f>IF(Enero[[#This Row],[COTIZACION]]="", "", Enero[[#This Row],[ARS]]/Enero[[#This Row],[COTIZACION]])</f>
        <v/>
      </c>
      <c r="H47" s="64"/>
    </row>
    <row r="48" spans="2:8" ht="15.5" x14ac:dyDescent="0.35">
      <c r="B48" s="9"/>
      <c r="C48" s="9"/>
      <c r="D48" s="1"/>
      <c r="E48" s="9"/>
      <c r="F48" s="10"/>
      <c r="G48" s="64" t="str">
        <f>IF(Enero[[#This Row],[COTIZACION]]="", "", Enero[[#This Row],[ARS]]/Enero[[#This Row],[COTIZACION]])</f>
        <v/>
      </c>
      <c r="H48" s="64"/>
    </row>
    <row r="49" spans="2:8" ht="15.5" x14ac:dyDescent="0.35">
      <c r="B49" s="9"/>
      <c r="C49" s="9"/>
      <c r="D49" s="1"/>
      <c r="E49" s="9"/>
      <c r="F49" s="10"/>
      <c r="G49" s="64" t="str">
        <f>IF(Enero[[#This Row],[COTIZACION]]="", "", Enero[[#This Row],[ARS]]/Enero[[#This Row],[COTIZACION]])</f>
        <v/>
      </c>
      <c r="H49" s="64"/>
    </row>
    <row r="50" spans="2:8" ht="15.5" x14ac:dyDescent="0.35">
      <c r="B50" s="9"/>
      <c r="C50" s="9"/>
      <c r="D50" s="1"/>
      <c r="E50" s="9"/>
      <c r="F50" s="10"/>
      <c r="G50" s="64" t="str">
        <f>IF(Enero[[#This Row],[COTIZACION]]="", "", Enero[[#This Row],[ARS]]/Enero[[#This Row],[COTIZACION]])</f>
        <v/>
      </c>
      <c r="H50" s="64"/>
    </row>
    <row r="51" spans="2:8" ht="15.5" x14ac:dyDescent="0.35">
      <c r="B51" s="9"/>
      <c r="C51" s="9"/>
      <c r="D51" s="1"/>
      <c r="E51" s="9"/>
      <c r="F51" s="10"/>
      <c r="G51" s="64" t="str">
        <f>IF(Enero[[#This Row],[COTIZACION]]="", "", Enero[[#This Row],[ARS]]/Enero[[#This Row],[COTIZACION]])</f>
        <v/>
      </c>
      <c r="H51" s="64"/>
    </row>
    <row r="52" spans="2:8" ht="15.5" x14ac:dyDescent="0.35">
      <c r="B52" s="9"/>
      <c r="C52" s="9"/>
      <c r="D52" s="1"/>
      <c r="E52" s="9"/>
      <c r="F52" s="10"/>
      <c r="G52" s="64" t="str">
        <f>IF(Enero[[#This Row],[COTIZACION]]="", "", Enero[[#This Row],[ARS]]/Enero[[#This Row],[COTIZACION]])</f>
        <v/>
      </c>
      <c r="H52" s="64"/>
    </row>
    <row r="53" spans="2:8" ht="15.5" x14ac:dyDescent="0.35">
      <c r="B53" s="9"/>
      <c r="C53" s="9"/>
      <c r="D53" s="1"/>
      <c r="E53" s="9"/>
      <c r="F53" s="10"/>
      <c r="G53" s="64" t="str">
        <f>IF(Enero[[#This Row],[COTIZACION]]="", "", Enero[[#This Row],[ARS]]/Enero[[#This Row],[COTIZACION]])</f>
        <v/>
      </c>
      <c r="H53" s="64"/>
    </row>
    <row r="54" spans="2:8" ht="15.5" x14ac:dyDescent="0.35">
      <c r="B54" s="9"/>
      <c r="C54" s="9"/>
      <c r="D54" s="1"/>
      <c r="E54" s="9"/>
      <c r="F54" s="10"/>
      <c r="G54" s="64" t="str">
        <f>IF(Enero[[#This Row],[COTIZACION]]="", "", Enero[[#This Row],[ARS]]/Enero[[#This Row],[COTIZACION]])</f>
        <v/>
      </c>
      <c r="H54" s="64"/>
    </row>
    <row r="55" spans="2:8" ht="15.5" x14ac:dyDescent="0.35">
      <c r="B55" s="9"/>
      <c r="C55" s="9"/>
      <c r="D55" s="1"/>
      <c r="E55" s="9"/>
      <c r="F55" s="10"/>
      <c r="G55" s="64" t="str">
        <f>IF(Enero[[#This Row],[COTIZACION]]="", "", Enero[[#This Row],[ARS]]/Enero[[#This Row],[COTIZACION]])</f>
        <v/>
      </c>
      <c r="H55" s="64"/>
    </row>
    <row r="56" spans="2:8" ht="15.5" x14ac:dyDescent="0.35">
      <c r="B56" s="9"/>
      <c r="C56" s="9"/>
      <c r="D56" s="1"/>
      <c r="E56" s="9"/>
      <c r="F56" s="10"/>
      <c r="G56" s="64" t="str">
        <f>IF(Enero[[#This Row],[COTIZACION]]="", "", Enero[[#This Row],[ARS]]/Enero[[#This Row],[COTIZACION]])</f>
        <v/>
      </c>
      <c r="H56" s="64"/>
    </row>
    <row r="57" spans="2:8" ht="15.5" x14ac:dyDescent="0.35">
      <c r="B57" s="9"/>
      <c r="C57" s="9"/>
      <c r="D57" s="1"/>
      <c r="E57" s="9"/>
      <c r="F57" s="10"/>
      <c r="G57" s="64" t="str">
        <f>IF(Enero[[#This Row],[COTIZACION]]="", "", Enero[[#This Row],[ARS]]/Enero[[#This Row],[COTIZACION]])</f>
        <v/>
      </c>
      <c r="H57" s="64"/>
    </row>
    <row r="58" spans="2:8" ht="15.5" x14ac:dyDescent="0.35">
      <c r="B58" s="9"/>
      <c r="C58" s="9"/>
      <c r="D58" s="1"/>
      <c r="E58" s="9"/>
      <c r="F58" s="10"/>
      <c r="G58" s="64" t="str">
        <f>IF(Enero[[#This Row],[COTIZACION]]="", "", Enero[[#This Row],[ARS]]/Enero[[#This Row],[COTIZACION]])</f>
        <v/>
      </c>
      <c r="H58" s="64"/>
    </row>
    <row r="59" spans="2:8" ht="15.5" x14ac:dyDescent="0.35">
      <c r="B59" s="9"/>
      <c r="C59" s="9"/>
      <c r="D59" s="1"/>
      <c r="E59" s="9"/>
      <c r="F59" s="10"/>
      <c r="G59" s="64" t="str">
        <f>IF(Enero[[#This Row],[COTIZACION]]="", "", Enero[[#This Row],[ARS]]/Enero[[#This Row],[COTIZACION]])</f>
        <v/>
      </c>
      <c r="H59" s="64"/>
    </row>
    <row r="60" spans="2:8" ht="15.5" x14ac:dyDescent="0.35">
      <c r="B60" s="9"/>
      <c r="C60" s="9"/>
      <c r="D60" s="1"/>
      <c r="E60" s="9"/>
      <c r="F60" s="10"/>
      <c r="G60" s="64" t="str">
        <f>IF(Enero[[#This Row],[COTIZACION]]="", "", Enero[[#This Row],[ARS]]/Enero[[#This Row],[COTIZACION]])</f>
        <v/>
      </c>
      <c r="H60" s="64"/>
    </row>
    <row r="61" spans="2:8" ht="15.5" x14ac:dyDescent="0.35">
      <c r="B61" s="9"/>
      <c r="C61" s="9"/>
      <c r="D61" s="1"/>
      <c r="E61" s="9"/>
      <c r="F61" s="10"/>
      <c r="G61" s="64" t="str">
        <f>IF(Enero[[#This Row],[COTIZACION]]="", "", Enero[[#This Row],[ARS]]/Enero[[#This Row],[COTIZACION]])</f>
        <v/>
      </c>
      <c r="H61" s="64"/>
    </row>
    <row r="62" spans="2:8" ht="15.5" x14ac:dyDescent="0.35">
      <c r="B62" s="9"/>
      <c r="C62" s="9"/>
      <c r="D62" s="1"/>
      <c r="E62" s="9"/>
      <c r="F62" s="10"/>
      <c r="G62" s="64" t="str">
        <f>IF(Enero[[#This Row],[COTIZACION]]="", "", Enero[[#This Row],[ARS]]/Enero[[#This Row],[COTIZACION]])</f>
        <v/>
      </c>
      <c r="H62" s="64"/>
    </row>
    <row r="63" spans="2:8" ht="15.5" x14ac:dyDescent="0.35">
      <c r="B63" s="9"/>
      <c r="C63" s="9"/>
      <c r="D63" s="1"/>
      <c r="E63" s="9"/>
      <c r="F63" s="10"/>
      <c r="G63" s="64" t="str">
        <f>IF(Enero[[#This Row],[COTIZACION]]="", "", Enero[[#This Row],[ARS]]/Enero[[#This Row],[COTIZACION]])</f>
        <v/>
      </c>
      <c r="H63" s="64"/>
    </row>
    <row r="64" spans="2:8" ht="15.5" x14ac:dyDescent="0.35">
      <c r="B64" s="9"/>
      <c r="C64" s="9"/>
      <c r="D64" s="1"/>
      <c r="E64" s="9"/>
      <c r="F64" s="10"/>
      <c r="G64" s="64" t="str">
        <f>IF(Enero[[#This Row],[COTIZACION]]="", "", Enero[[#This Row],[ARS]]/Enero[[#This Row],[COTIZACION]])</f>
        <v/>
      </c>
      <c r="H64" s="64"/>
    </row>
    <row r="65" spans="2:8" ht="15.5" x14ac:dyDescent="0.35">
      <c r="B65" s="9"/>
      <c r="C65" s="9"/>
      <c r="D65" s="1"/>
      <c r="E65" s="9"/>
      <c r="F65" s="10"/>
      <c r="G65" s="64" t="str">
        <f>IF(Enero[[#This Row],[COTIZACION]]="", "", Enero[[#This Row],[ARS]]/Enero[[#This Row],[COTIZACION]])</f>
        <v/>
      </c>
      <c r="H65" s="64"/>
    </row>
    <row r="66" spans="2:8" ht="15.5" x14ac:dyDescent="0.35">
      <c r="B66" s="9"/>
      <c r="C66" s="9"/>
      <c r="D66" s="1"/>
      <c r="E66" s="9"/>
      <c r="F66" s="10"/>
      <c r="G66" s="64" t="str">
        <f>IF(Enero[[#This Row],[COTIZACION]]="", "", Enero[[#This Row],[ARS]]/Enero[[#This Row],[COTIZACION]])</f>
        <v/>
      </c>
      <c r="H66" s="64"/>
    </row>
    <row r="67" spans="2:8" ht="15.5" x14ac:dyDescent="0.35">
      <c r="B67" s="9"/>
      <c r="C67" s="9"/>
      <c r="D67" s="1"/>
      <c r="E67" s="9"/>
      <c r="F67" s="10"/>
      <c r="G67" s="64" t="str">
        <f>IF(Enero[[#This Row],[COTIZACION]]="", "", Enero[[#This Row],[ARS]]/Enero[[#This Row],[COTIZACION]])</f>
        <v/>
      </c>
      <c r="H67" s="64"/>
    </row>
    <row r="68" spans="2:8" ht="15.5" x14ac:dyDescent="0.35">
      <c r="B68" s="9"/>
      <c r="C68" s="9"/>
      <c r="D68" s="1"/>
      <c r="E68" s="9"/>
      <c r="F68" s="10"/>
      <c r="G68" s="64" t="str">
        <f>IF(Enero[[#This Row],[COTIZACION]]="", "", Enero[[#This Row],[ARS]]/Enero[[#This Row],[COTIZACION]])</f>
        <v/>
      </c>
      <c r="H68" s="64"/>
    </row>
    <row r="69" spans="2:8" ht="15.5" x14ac:dyDescent="0.35">
      <c r="B69" s="9"/>
      <c r="C69" s="9"/>
      <c r="D69" s="1"/>
      <c r="E69" s="9"/>
      <c r="F69" s="10"/>
      <c r="G69" s="64" t="str">
        <f>IF(Enero[[#This Row],[COTIZACION]]="", "", Enero[[#This Row],[ARS]]/Enero[[#This Row],[COTIZACION]])</f>
        <v/>
      </c>
      <c r="H69" s="64"/>
    </row>
    <row r="70" spans="2:8" ht="15.5" x14ac:dyDescent="0.35">
      <c r="B70" s="9"/>
      <c r="C70" s="9"/>
      <c r="D70" s="1"/>
      <c r="E70" s="9"/>
      <c r="F70" s="10"/>
      <c r="G70" s="64" t="str">
        <f>IF(Enero[[#This Row],[COTIZACION]]="", "", Enero[[#This Row],[ARS]]/Enero[[#This Row],[COTIZACION]])</f>
        <v/>
      </c>
      <c r="H70" s="64"/>
    </row>
    <row r="71" spans="2:8" ht="15.5" x14ac:dyDescent="0.35">
      <c r="B71" s="9"/>
      <c r="C71" s="9"/>
      <c r="D71" s="1"/>
      <c r="E71" s="9"/>
      <c r="F71" s="10"/>
      <c r="G71" s="64" t="str">
        <f>IF(Enero[[#This Row],[COTIZACION]]="", "", Enero[[#This Row],[ARS]]/Enero[[#This Row],[COTIZACION]])</f>
        <v/>
      </c>
      <c r="H71" s="64"/>
    </row>
    <row r="72" spans="2:8" ht="15.5" x14ac:dyDescent="0.35">
      <c r="B72" s="9"/>
      <c r="C72" s="9"/>
      <c r="D72" s="1"/>
      <c r="E72" s="9"/>
      <c r="F72" s="10"/>
      <c r="G72" s="64" t="str">
        <f>IF(Enero[[#This Row],[COTIZACION]]="", "", Enero[[#This Row],[ARS]]/Enero[[#This Row],[COTIZACION]])</f>
        <v/>
      </c>
      <c r="H72" s="64"/>
    </row>
    <row r="73" spans="2:8" ht="15.5" x14ac:dyDescent="0.35">
      <c r="B73" s="9"/>
      <c r="C73" s="9"/>
      <c r="D73" s="1"/>
      <c r="E73" s="9"/>
      <c r="F73" s="10"/>
      <c r="G73" s="64" t="str">
        <f>IF(Enero[[#This Row],[COTIZACION]]="", "", Enero[[#This Row],[ARS]]/Enero[[#This Row],[COTIZACION]])</f>
        <v/>
      </c>
      <c r="H73" s="64"/>
    </row>
    <row r="74" spans="2:8" ht="15.5" x14ac:dyDescent="0.35">
      <c r="B74" s="9"/>
      <c r="C74" s="9"/>
      <c r="D74" s="1"/>
      <c r="E74" s="9"/>
      <c r="F74" s="10"/>
      <c r="G74" s="64" t="str">
        <f>IF(Enero[[#This Row],[COTIZACION]]="", "", Enero[[#This Row],[ARS]]/Enero[[#This Row],[COTIZACION]])</f>
        <v/>
      </c>
      <c r="H74" s="64"/>
    </row>
    <row r="75" spans="2:8" ht="15.5" x14ac:dyDescent="0.35">
      <c r="B75" s="9"/>
      <c r="C75" s="9"/>
      <c r="D75" s="1"/>
      <c r="E75" s="9"/>
      <c r="F75" s="10"/>
      <c r="G75" s="64" t="str">
        <f>IF(Enero[[#This Row],[COTIZACION]]="", "", Enero[[#This Row],[ARS]]/Enero[[#This Row],[COTIZACION]])</f>
        <v/>
      </c>
      <c r="H75" s="64"/>
    </row>
    <row r="76" spans="2:8" ht="15.5" x14ac:dyDescent="0.35">
      <c r="B76" s="9"/>
      <c r="C76" s="9"/>
      <c r="D76" s="1"/>
      <c r="E76" s="9"/>
      <c r="F76" s="10"/>
      <c r="G76" s="64" t="str">
        <f>IF(Enero[[#This Row],[COTIZACION]]="", "", Enero[[#This Row],[ARS]]/Enero[[#This Row],[COTIZACION]])</f>
        <v/>
      </c>
      <c r="H76" s="64"/>
    </row>
    <row r="77" spans="2:8" ht="15.5" x14ac:dyDescent="0.35">
      <c r="B77" s="9"/>
      <c r="C77" s="9"/>
      <c r="D77" s="1"/>
      <c r="E77" s="9"/>
      <c r="F77" s="10"/>
      <c r="G77" s="64" t="str">
        <f>IF(Enero[[#This Row],[COTIZACION]]="", "", Enero[[#This Row],[ARS]]/Enero[[#This Row],[COTIZACION]])</f>
        <v/>
      </c>
      <c r="H77" s="64"/>
    </row>
    <row r="78" spans="2:8" ht="15.5" x14ac:dyDescent="0.35">
      <c r="B78" s="9"/>
      <c r="C78" s="9"/>
      <c r="D78" s="1"/>
      <c r="E78" s="9"/>
      <c r="F78" s="10"/>
      <c r="G78" s="64" t="str">
        <f>IF(Enero[[#This Row],[COTIZACION]]="", "", Enero[[#This Row],[ARS]]/Enero[[#This Row],[COTIZACION]])</f>
        <v/>
      </c>
      <c r="H78" s="64"/>
    </row>
    <row r="79" spans="2:8" ht="15.5" x14ac:dyDescent="0.35">
      <c r="B79" s="9"/>
      <c r="C79" s="9"/>
      <c r="D79" s="1"/>
      <c r="E79" s="9"/>
      <c r="F79" s="10"/>
      <c r="G79" s="64" t="str">
        <f>IF(Enero[[#This Row],[COTIZACION]]="", "", Enero[[#This Row],[ARS]]/Enero[[#This Row],[COTIZACION]])</f>
        <v/>
      </c>
      <c r="H79" s="64"/>
    </row>
    <row r="80" spans="2:8" ht="15.5" x14ac:dyDescent="0.35">
      <c r="B80" s="9"/>
      <c r="C80" s="9"/>
      <c r="D80" s="1"/>
      <c r="E80" s="9"/>
      <c r="F80" s="10"/>
      <c r="G80" s="64" t="str">
        <f>IF(Enero[[#This Row],[COTIZACION]]="", "", Enero[[#This Row],[ARS]]/Enero[[#This Row],[COTIZACION]])</f>
        <v/>
      </c>
      <c r="H80" s="64"/>
    </row>
    <row r="81" spans="2:8" ht="15.5" x14ac:dyDescent="0.35">
      <c r="B81" s="9"/>
      <c r="C81" s="9"/>
      <c r="D81" s="1"/>
      <c r="E81" s="9"/>
      <c r="F81" s="10"/>
      <c r="G81" s="64" t="str">
        <f>IF(Enero[[#This Row],[COTIZACION]]="", "", Enero[[#This Row],[ARS]]/Enero[[#This Row],[COTIZACION]])</f>
        <v/>
      </c>
      <c r="H81" s="64"/>
    </row>
    <row r="82" spans="2:8" ht="15.5" x14ac:dyDescent="0.35">
      <c r="B82" s="9"/>
      <c r="C82" s="9"/>
      <c r="D82" s="1"/>
      <c r="E82" s="9"/>
      <c r="F82" s="10"/>
      <c r="G82" s="64" t="str">
        <f>IF(Enero[[#This Row],[COTIZACION]]="", "", Enero[[#This Row],[ARS]]/Enero[[#This Row],[COTIZACION]])</f>
        <v/>
      </c>
      <c r="H82" s="64"/>
    </row>
    <row r="83" spans="2:8" ht="15.5" x14ac:dyDescent="0.35">
      <c r="B83" s="9"/>
      <c r="C83" s="9"/>
      <c r="D83" s="1"/>
      <c r="E83" s="9"/>
      <c r="F83" s="10"/>
      <c r="G83" s="64" t="str">
        <f>IF(Enero[[#This Row],[COTIZACION]]="", "", Enero[[#This Row],[ARS]]/Enero[[#This Row],[COTIZACION]])</f>
        <v/>
      </c>
      <c r="H83" s="64"/>
    </row>
    <row r="84" spans="2:8" ht="15.5" x14ac:dyDescent="0.35">
      <c r="B84" s="9"/>
      <c r="C84" s="9"/>
      <c r="D84" s="1"/>
      <c r="E84" s="9"/>
      <c r="F84" s="10"/>
      <c r="G84" s="64" t="str">
        <f>IF(Enero[[#This Row],[COTIZACION]]="", "", Enero[[#This Row],[ARS]]/Enero[[#This Row],[COTIZACION]])</f>
        <v/>
      </c>
      <c r="H84" s="64"/>
    </row>
    <row r="85" spans="2:8" ht="15.5" x14ac:dyDescent="0.35">
      <c r="B85" s="9"/>
      <c r="C85" s="9"/>
      <c r="D85" s="1"/>
      <c r="E85" s="9"/>
      <c r="F85" s="10"/>
      <c r="G85" s="64" t="str">
        <f>IF(Enero[[#This Row],[COTIZACION]]="", "", Enero[[#This Row],[ARS]]/Enero[[#This Row],[COTIZACION]])</f>
        <v/>
      </c>
      <c r="H85" s="64"/>
    </row>
    <row r="86" spans="2:8" ht="15.5" x14ac:dyDescent="0.35">
      <c r="B86" s="9"/>
      <c r="C86" s="9"/>
      <c r="D86" s="1"/>
      <c r="E86" s="9"/>
      <c r="F86" s="10"/>
      <c r="G86" s="64" t="str">
        <f>IF(Enero[[#This Row],[COTIZACION]]="", "", Enero[[#This Row],[ARS]]/Enero[[#This Row],[COTIZACION]])</f>
        <v/>
      </c>
      <c r="H86" s="64"/>
    </row>
    <row r="87" spans="2:8" ht="15.5" x14ac:dyDescent="0.35">
      <c r="B87" s="9"/>
      <c r="C87" s="9"/>
      <c r="D87" s="1"/>
      <c r="E87" s="9"/>
      <c r="F87" s="10"/>
      <c r="G87" s="64" t="str">
        <f>IF(Enero[[#This Row],[COTIZACION]]="", "", Enero[[#This Row],[ARS]]/Enero[[#This Row],[COTIZACION]])</f>
        <v/>
      </c>
      <c r="H87" s="64"/>
    </row>
    <row r="88" spans="2:8" ht="15.5" x14ac:dyDescent="0.35">
      <c r="B88" s="9"/>
      <c r="C88" s="9"/>
      <c r="D88" s="1"/>
      <c r="E88" s="9"/>
      <c r="F88" s="10"/>
      <c r="G88" s="64" t="str">
        <f>IF(Enero[[#This Row],[COTIZACION]]="", "", Enero[[#This Row],[ARS]]/Enero[[#This Row],[COTIZACION]])</f>
        <v/>
      </c>
      <c r="H88" s="64"/>
    </row>
    <row r="89" spans="2:8" ht="15.5" x14ac:dyDescent="0.35">
      <c r="B89" s="9"/>
      <c r="C89" s="9"/>
      <c r="D89" s="1"/>
      <c r="E89" s="9"/>
      <c r="F89" s="10"/>
      <c r="G89" s="64" t="str">
        <f>IF(Enero[[#This Row],[COTIZACION]]="", "", Enero[[#This Row],[ARS]]/Enero[[#This Row],[COTIZACION]])</f>
        <v/>
      </c>
      <c r="H89" s="64"/>
    </row>
    <row r="90" spans="2:8" ht="15.5" x14ac:dyDescent="0.35">
      <c r="B90" s="9"/>
      <c r="C90" s="9"/>
      <c r="D90" s="1"/>
      <c r="E90" s="9"/>
      <c r="F90" s="10"/>
      <c r="G90" s="64" t="str">
        <f>IF(Enero[[#This Row],[COTIZACION]]="", "", Enero[[#This Row],[ARS]]/Enero[[#This Row],[COTIZACION]])</f>
        <v/>
      </c>
      <c r="H90" s="64"/>
    </row>
    <row r="91" spans="2:8" ht="15.5" x14ac:dyDescent="0.35">
      <c r="B91" s="9"/>
      <c r="C91" s="9"/>
      <c r="D91" s="1"/>
      <c r="E91" s="9"/>
      <c r="F91" s="10"/>
      <c r="G91" s="64" t="str">
        <f>IF(Enero[[#This Row],[COTIZACION]]="", "", Enero[[#This Row],[ARS]]/Enero[[#This Row],[COTIZACION]])</f>
        <v/>
      </c>
      <c r="H91" s="64"/>
    </row>
    <row r="92" spans="2:8" ht="15.5" x14ac:dyDescent="0.35">
      <c r="B92" s="9"/>
      <c r="C92" s="9"/>
      <c r="D92" s="1"/>
      <c r="E92" s="9"/>
      <c r="F92" s="10"/>
      <c r="G92" s="64" t="str">
        <f>IF(Enero[[#This Row],[COTIZACION]]="", "", Enero[[#This Row],[ARS]]/Enero[[#This Row],[COTIZACION]])</f>
        <v/>
      </c>
      <c r="H92" s="64"/>
    </row>
    <row r="93" spans="2:8" ht="15.5" x14ac:dyDescent="0.35">
      <c r="B93" s="9"/>
      <c r="C93" s="9"/>
      <c r="D93" s="1"/>
      <c r="E93" s="9"/>
      <c r="F93" s="10"/>
      <c r="G93" s="64" t="str">
        <f>IF(Enero[[#This Row],[COTIZACION]]="", "", Enero[[#This Row],[ARS]]/Enero[[#This Row],[COTIZACION]])</f>
        <v/>
      </c>
      <c r="H93" s="64"/>
    </row>
    <row r="94" spans="2:8" ht="15.5" x14ac:dyDescent="0.35">
      <c r="B94" s="9"/>
      <c r="C94" s="9"/>
      <c r="D94" s="1"/>
      <c r="E94" s="9"/>
      <c r="F94" s="10"/>
      <c r="G94" s="64" t="str">
        <f>IF(Enero[[#This Row],[COTIZACION]]="", "", Enero[[#This Row],[ARS]]/Enero[[#This Row],[COTIZACION]])</f>
        <v/>
      </c>
      <c r="H94" s="64"/>
    </row>
    <row r="95" spans="2:8" ht="15.5" x14ac:dyDescent="0.35">
      <c r="B95" s="9"/>
      <c r="C95" s="9"/>
      <c r="D95" s="1"/>
      <c r="E95" s="9"/>
      <c r="F95" s="10"/>
      <c r="G95" s="64" t="str">
        <f>IF(Enero[[#This Row],[COTIZACION]]="", "", Enero[[#This Row],[ARS]]/Enero[[#This Row],[COTIZACION]])</f>
        <v/>
      </c>
      <c r="H95" s="64"/>
    </row>
    <row r="96" spans="2:8" ht="15.5" x14ac:dyDescent="0.35">
      <c r="B96" s="9"/>
      <c r="C96" s="9"/>
      <c r="D96" s="1"/>
      <c r="E96" s="9"/>
      <c r="F96" s="10"/>
      <c r="G96" s="64" t="str">
        <f>IF(Enero[[#This Row],[COTIZACION]]="", "", Enero[[#This Row],[ARS]]/Enero[[#This Row],[COTIZACION]])</f>
        <v/>
      </c>
      <c r="H96" s="64"/>
    </row>
    <row r="97" spans="2:8" ht="15.5" x14ac:dyDescent="0.35">
      <c r="B97" s="9"/>
      <c r="C97" s="9"/>
      <c r="D97" s="1"/>
      <c r="E97" s="9"/>
      <c r="F97" s="10"/>
      <c r="G97" s="64" t="str">
        <f>IF(Enero[[#This Row],[COTIZACION]]="", "", Enero[[#This Row],[ARS]]/Enero[[#This Row],[COTIZACION]])</f>
        <v/>
      </c>
      <c r="H97" s="64"/>
    </row>
    <row r="98" spans="2:8" ht="15.5" x14ac:dyDescent="0.35">
      <c r="B98" s="9"/>
      <c r="C98" s="9"/>
      <c r="D98" s="1"/>
      <c r="E98" s="9"/>
      <c r="F98" s="10"/>
      <c r="G98" s="64" t="str">
        <f>IF(Enero[[#This Row],[COTIZACION]]="", "", Enero[[#This Row],[ARS]]/Enero[[#This Row],[COTIZACION]])</f>
        <v/>
      </c>
      <c r="H98" s="64"/>
    </row>
    <row r="99" spans="2:8" ht="15.5" x14ac:dyDescent="0.35">
      <c r="B99" s="35"/>
      <c r="C99" s="35"/>
      <c r="D99" s="36"/>
      <c r="E99" s="35"/>
      <c r="F99" s="37"/>
      <c r="G99" s="66" t="str">
        <f>IF(Enero[[#This Row],[COTIZACION]]="", "", Enero[[#This Row],[ARS]]/Enero[[#This Row],[COTIZACION]])</f>
        <v/>
      </c>
      <c r="H99" s="66"/>
    </row>
  </sheetData>
  <sortState xmlns:xlrd2="http://schemas.microsoft.com/office/spreadsheetml/2017/richdata2" ref="B3:F99">
    <sortCondition descending="1" ref="F2"/>
  </sortState>
  <mergeCells count="1">
    <mergeCell ref="F1:H1"/>
  </mergeCells>
  <phoneticPr fontId="0" type="noConversion"/>
  <dataValidations count="2">
    <dataValidation type="list" allowBlank="1" showInputMessage="1" showErrorMessage="1" sqref="B6:B99" xr:uid="{00000000-0002-0000-0300-000000000000}">
      <formula1>Categorías</formula1>
    </dataValidation>
    <dataValidation type="list" allowBlank="1" showInputMessage="1" showErrorMessage="1" sqref="C6:C99" xr:uid="{00000000-0002-0000-0300-000001000000}">
      <formula1>INDIRECT($B6)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E37" sqref="E37"/>
    </sheetView>
  </sheetViews>
  <sheetFormatPr defaultColWidth="10.90625"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94"/>
  <sheetViews>
    <sheetView showGridLines="0" topLeftCell="B1" zoomScale="110" zoomScaleNormal="110" workbookViewId="0">
      <pane ySplit="5" topLeftCell="A6" activePane="bottomLeft" state="frozen"/>
      <selection pane="bottomLeft" activeCell="E25" sqref="E25"/>
    </sheetView>
  </sheetViews>
  <sheetFormatPr defaultColWidth="9.08984375" defaultRowHeight="14.5" x14ac:dyDescent="0.35"/>
  <cols>
    <col min="1" max="1" width="5.54296875" customWidth="1"/>
    <col min="2" max="2" width="23.08984375" customWidth="1"/>
    <col min="3" max="3" width="26.54296875" customWidth="1"/>
    <col min="4" max="4" width="12.6328125" style="2" customWidth="1"/>
    <col min="5" max="5" width="37" customWidth="1"/>
    <col min="6" max="8" width="17.36328125" style="3" customWidth="1"/>
    <col min="9" max="10" width="9.08984375" customWidth="1"/>
    <col min="11" max="11" width="9.08984375" style="2" customWidth="1"/>
    <col min="12" max="12" width="16.54296875" bestFit="1" customWidth="1"/>
    <col min="13" max="13" width="11.90625" bestFit="1" customWidth="1"/>
    <col min="14" max="14" width="15.54296875" bestFit="1" customWidth="1"/>
  </cols>
  <sheetData>
    <row r="1" spans="2:12" s="4" customFormat="1" ht="18.5" x14ac:dyDescent="0.45">
      <c r="B1" s="25" t="s">
        <v>34</v>
      </c>
      <c r="C1" s="25"/>
      <c r="D1" s="25"/>
      <c r="E1" s="25"/>
      <c r="F1" s="137" t="s">
        <v>16</v>
      </c>
      <c r="G1" s="137"/>
      <c r="H1" s="137"/>
      <c r="K1" s="5"/>
    </row>
    <row r="2" spans="2:12" s="6" customFormat="1" ht="15" customHeight="1" x14ac:dyDescent="0.35">
      <c r="B2" s="2"/>
      <c r="D2" s="8"/>
      <c r="E2" s="27" t="s">
        <v>59</v>
      </c>
      <c r="F2" s="28">
        <f>SUM(Febrero[ARS])</f>
        <v>1205900</v>
      </c>
      <c r="G2" s="28">
        <f>SUM(Febrero[USD])</f>
        <v>1019.1231264883038</v>
      </c>
      <c r="H2" s="28"/>
      <c r="K2" s="8"/>
    </row>
    <row r="3" spans="2:12" s="6" customFormat="1" ht="15" customHeight="1" x14ac:dyDescent="0.35">
      <c r="B3" s="2"/>
      <c r="D3" s="8"/>
      <c r="E3" s="27" t="s">
        <v>65</v>
      </c>
      <c r="F3" s="28">
        <f>MAX(Febrero[ARS])</f>
        <v>453500</v>
      </c>
      <c r="G3" s="28">
        <f>MAX(Febrero[USD])</f>
        <v>384.32203389830511</v>
      </c>
      <c r="H3" s="28">
        <f>MAX(Febrero[COTIZACION])</f>
        <v>1210</v>
      </c>
      <c r="K3" s="8"/>
    </row>
    <row r="4" spans="2:12" s="6" customFormat="1" ht="15" customHeight="1" x14ac:dyDescent="0.35">
      <c r="B4" s="2"/>
      <c r="D4" s="8"/>
      <c r="E4" s="27" t="s">
        <v>66</v>
      </c>
      <c r="F4" s="28">
        <f>MIN(Febrero[ARS])</f>
        <v>6000</v>
      </c>
      <c r="G4" s="28">
        <f>MIN(Febrero[USD])</f>
        <v>5.0847457627118642</v>
      </c>
      <c r="H4" s="28">
        <f>MIN(Febrero[COTIZACION])</f>
        <v>1180</v>
      </c>
      <c r="K4" s="8"/>
    </row>
    <row r="5" spans="2:12" s="6" customFormat="1" ht="19.5" customHeight="1" x14ac:dyDescent="0.35">
      <c r="B5" s="31" t="s">
        <v>35</v>
      </c>
      <c r="C5" s="31" t="s">
        <v>36</v>
      </c>
      <c r="D5" s="31" t="s">
        <v>37</v>
      </c>
      <c r="E5" s="31" t="s">
        <v>13</v>
      </c>
      <c r="F5" s="31" t="s">
        <v>64</v>
      </c>
      <c r="G5" s="31" t="s">
        <v>63</v>
      </c>
      <c r="H5" s="31" t="s">
        <v>62</v>
      </c>
      <c r="I5" s="7"/>
      <c r="K5" s="8"/>
      <c r="L5"/>
    </row>
    <row r="6" spans="2:12" ht="19.5" customHeight="1" x14ac:dyDescent="0.35">
      <c r="B6" s="9" t="s">
        <v>14</v>
      </c>
      <c r="C6" s="9" t="s">
        <v>72</v>
      </c>
      <c r="D6" s="1">
        <v>45779</v>
      </c>
      <c r="E6" s="9" t="s">
        <v>130</v>
      </c>
      <c r="F6" s="10">
        <v>453500</v>
      </c>
      <c r="G6" s="10">
        <f>IF(Febrero[[#This Row],[COTIZACION]]="", "", Febrero[[#This Row],[ARS]]/Febrero[[#This Row],[COTIZACION]])</f>
        <v>384.32203389830511</v>
      </c>
      <c r="H6" s="10">
        <v>1180</v>
      </c>
    </row>
    <row r="7" spans="2:12" ht="15.5" x14ac:dyDescent="0.35">
      <c r="B7" s="96" t="s">
        <v>14</v>
      </c>
      <c r="C7" s="96" t="s">
        <v>10</v>
      </c>
      <c r="D7" s="97" t="s">
        <v>135</v>
      </c>
      <c r="E7" s="96" t="s">
        <v>137</v>
      </c>
      <c r="F7" s="10">
        <v>28000</v>
      </c>
      <c r="G7" s="10">
        <f>IF(Febrero[[#This Row],[COTIZACION]]="", "", Febrero[[#This Row],[ARS]]/Febrero[[#This Row],[COTIZACION]])</f>
        <v>23.728813559322035</v>
      </c>
      <c r="H7" s="98">
        <v>1180</v>
      </c>
    </row>
    <row r="8" spans="2:12" ht="15.75" customHeight="1" x14ac:dyDescent="0.35">
      <c r="B8" s="9" t="s">
        <v>85</v>
      </c>
      <c r="C8" s="9" t="s">
        <v>89</v>
      </c>
      <c r="D8" s="1">
        <v>45840</v>
      </c>
      <c r="E8" s="9" t="s">
        <v>131</v>
      </c>
      <c r="F8" s="10">
        <v>310340</v>
      </c>
      <c r="G8" s="10">
        <f>IF(Febrero[[#This Row],[COTIZACION]]="", "", Febrero[[#This Row],[ARS]]/Febrero[[#This Row],[COTIZACION]])</f>
        <v>263</v>
      </c>
      <c r="H8" s="10">
        <v>1180</v>
      </c>
    </row>
    <row r="9" spans="2:12" ht="15.5" x14ac:dyDescent="0.35">
      <c r="B9" s="9" t="s">
        <v>14</v>
      </c>
      <c r="C9" s="9" t="s">
        <v>67</v>
      </c>
      <c r="D9" s="1">
        <v>45840</v>
      </c>
      <c r="E9" s="9" t="s">
        <v>132</v>
      </c>
      <c r="F9" s="10">
        <v>42600</v>
      </c>
      <c r="G9" s="10">
        <f>IF(Febrero[[#This Row],[COTIZACION]]="", "", Febrero[[#This Row],[ARS]]/Febrero[[#This Row],[COTIZACION]])</f>
        <v>36.101694915254235</v>
      </c>
      <c r="H9" s="10">
        <v>1180</v>
      </c>
    </row>
    <row r="10" spans="2:12" ht="15.5" x14ac:dyDescent="0.35">
      <c r="B10" s="9" t="s">
        <v>1</v>
      </c>
      <c r="C10" s="9" t="s">
        <v>70</v>
      </c>
      <c r="D10" s="1">
        <v>45932</v>
      </c>
      <c r="E10" s="9" t="s">
        <v>109</v>
      </c>
      <c r="F10" s="10">
        <v>6000</v>
      </c>
      <c r="G10" s="10">
        <f>IF(Febrero[[#This Row],[COTIZACION]]="", "", Febrero[[#This Row],[ARS]]/Febrero[[#This Row],[COTIZACION]])</f>
        <v>5.0847457627118642</v>
      </c>
      <c r="H10" s="10">
        <v>1180</v>
      </c>
    </row>
    <row r="11" spans="2:12" ht="15.5" x14ac:dyDescent="0.35">
      <c r="B11" s="9" t="s">
        <v>14</v>
      </c>
      <c r="C11" s="9" t="s">
        <v>33</v>
      </c>
      <c r="D11" s="1">
        <v>45963</v>
      </c>
      <c r="E11" s="9" t="s">
        <v>79</v>
      </c>
      <c r="F11" s="10">
        <v>15000</v>
      </c>
      <c r="G11" s="10">
        <f>IF(Febrero[[#This Row],[COTIZACION]]="", "", Febrero[[#This Row],[ARS]]/Febrero[[#This Row],[COTIZACION]])</f>
        <v>12.711864406779661</v>
      </c>
      <c r="H11" s="10">
        <v>1180</v>
      </c>
    </row>
    <row r="12" spans="2:12" ht="15.5" x14ac:dyDescent="0.35">
      <c r="B12" s="9" t="s">
        <v>14</v>
      </c>
      <c r="C12" s="9" t="s">
        <v>33</v>
      </c>
      <c r="D12" s="1" t="s">
        <v>133</v>
      </c>
      <c r="E12" s="9" t="s">
        <v>60</v>
      </c>
      <c r="F12" s="10">
        <v>18500</v>
      </c>
      <c r="G12" s="10">
        <f>IF(Febrero[[#This Row],[COTIZACION]]="", "", Febrero[[#This Row],[ARS]]/Febrero[[#This Row],[COTIZACION]])</f>
        <v>15.677966101694915</v>
      </c>
      <c r="H12" s="10">
        <v>1180</v>
      </c>
    </row>
    <row r="13" spans="2:12" ht="15.5" x14ac:dyDescent="0.35">
      <c r="B13" s="9" t="s">
        <v>14</v>
      </c>
      <c r="C13" s="9" t="s">
        <v>32</v>
      </c>
      <c r="D13" s="1" t="s">
        <v>133</v>
      </c>
      <c r="E13" s="9" t="s">
        <v>139</v>
      </c>
      <c r="F13" s="10">
        <v>35000</v>
      </c>
      <c r="G13" s="10">
        <f>IF(Febrero[[#This Row],[COTIZACION]]="", "", Febrero[[#This Row],[ARS]]/Febrero[[#This Row],[COTIZACION]])</f>
        <v>29.661016949152543</v>
      </c>
      <c r="H13" s="10">
        <v>1180</v>
      </c>
    </row>
    <row r="14" spans="2:12" ht="15.5" x14ac:dyDescent="0.35">
      <c r="B14" s="9" t="s">
        <v>14</v>
      </c>
      <c r="C14" s="9" t="s">
        <v>33</v>
      </c>
      <c r="D14" s="1" t="s">
        <v>134</v>
      </c>
      <c r="E14" s="9" t="s">
        <v>60</v>
      </c>
      <c r="F14" s="10">
        <v>18500</v>
      </c>
      <c r="G14" s="10">
        <f>IF(Febrero[[#This Row],[COTIZACION]]="", "", Febrero[[#This Row],[ARS]]/Febrero[[#This Row],[COTIZACION]])</f>
        <v>15.677966101694915</v>
      </c>
      <c r="H14" s="10">
        <v>1180</v>
      </c>
    </row>
    <row r="15" spans="2:12" ht="15.5" x14ac:dyDescent="0.35">
      <c r="B15" s="9" t="s">
        <v>8</v>
      </c>
      <c r="C15" s="9" t="s">
        <v>106</v>
      </c>
      <c r="D15" s="1" t="s">
        <v>135</v>
      </c>
      <c r="E15" s="9" t="s">
        <v>136</v>
      </c>
      <c r="F15" s="10">
        <v>143960</v>
      </c>
      <c r="G15" s="10">
        <f>IF(Febrero[[#This Row],[COTIZACION]]="", "", Febrero[[#This Row],[ARS]]/Febrero[[#This Row],[COTIZACION]])</f>
        <v>122</v>
      </c>
      <c r="H15" s="10">
        <v>1180</v>
      </c>
    </row>
    <row r="16" spans="2:12" ht="15.5" x14ac:dyDescent="0.35">
      <c r="B16" s="9" t="s">
        <v>11</v>
      </c>
      <c r="C16" s="9" t="s">
        <v>68</v>
      </c>
      <c r="D16" s="1" t="s">
        <v>144</v>
      </c>
      <c r="E16" s="9" t="s">
        <v>68</v>
      </c>
      <c r="F16" s="10">
        <v>40000</v>
      </c>
      <c r="G16" s="10">
        <f>IF(Febrero[[#This Row],[COTIZACION]]="", "", Febrero[[#This Row],[ARS]]/Febrero[[#This Row],[COTIZACION]])</f>
        <v>33.057851239669418</v>
      </c>
      <c r="H16" s="10">
        <v>1210</v>
      </c>
    </row>
    <row r="17" spans="2:8" ht="15.5" x14ac:dyDescent="0.35">
      <c r="B17" s="9"/>
      <c r="C17" s="9"/>
      <c r="D17" s="1"/>
      <c r="E17" s="9"/>
      <c r="F17" s="10"/>
      <c r="G17" s="10" t="str">
        <f>IF(Febrero[[#This Row],[COTIZACION]]="", "", Febrero[[#This Row],[ARS]]/Febrero[[#This Row],[COTIZACION]])</f>
        <v/>
      </c>
      <c r="H17" s="10"/>
    </row>
    <row r="18" spans="2:8" ht="15.5" x14ac:dyDescent="0.35">
      <c r="B18" s="9"/>
      <c r="C18" s="9"/>
      <c r="D18" s="1"/>
      <c r="E18" s="9"/>
      <c r="F18" s="10"/>
      <c r="G18" s="10" t="str">
        <f>IF(Febrero[[#This Row],[COTIZACION]]="", "", Febrero[[#This Row],[ARS]]/Febrero[[#This Row],[COTIZACION]])</f>
        <v/>
      </c>
      <c r="H18" s="10"/>
    </row>
    <row r="19" spans="2:8" ht="15.5" x14ac:dyDescent="0.35">
      <c r="B19" s="9"/>
      <c r="C19" s="9"/>
      <c r="D19" s="1"/>
      <c r="E19" s="9"/>
      <c r="F19" s="10"/>
      <c r="G19" s="10" t="str">
        <f>IF(Febrero[[#This Row],[COTIZACION]]="", "", Febrero[[#This Row],[ARS]]/Febrero[[#This Row],[COTIZACION]])</f>
        <v/>
      </c>
      <c r="H19" s="10"/>
    </row>
    <row r="20" spans="2:8" ht="15.5" x14ac:dyDescent="0.35">
      <c r="B20" s="9"/>
      <c r="C20" s="9"/>
      <c r="D20" s="1"/>
      <c r="E20" s="9"/>
      <c r="F20" s="10"/>
      <c r="G20" s="10" t="str">
        <f>IF(Febrero[[#This Row],[COTIZACION]]="", "", Febrero[[#This Row],[ARS]]/Febrero[[#This Row],[COTIZACION]])</f>
        <v/>
      </c>
      <c r="H20" s="10"/>
    </row>
    <row r="21" spans="2:8" ht="15.5" x14ac:dyDescent="0.35">
      <c r="B21" s="9"/>
      <c r="C21" s="9"/>
      <c r="D21" s="1"/>
      <c r="E21" s="9"/>
      <c r="F21" s="10"/>
      <c r="G21" s="10" t="str">
        <f>IF(Febrero[[#This Row],[COTIZACION]]="", "", Febrero[[#This Row],[ARS]]/Febrero[[#This Row],[COTIZACION]])</f>
        <v/>
      </c>
      <c r="H21" s="10"/>
    </row>
    <row r="22" spans="2:8" ht="15.5" x14ac:dyDescent="0.35">
      <c r="B22" s="9" t="s">
        <v>14</v>
      </c>
      <c r="C22" s="9" t="s">
        <v>33</v>
      </c>
      <c r="D22" s="1" t="s">
        <v>145</v>
      </c>
      <c r="E22" s="9" t="s">
        <v>146</v>
      </c>
      <c r="F22" s="10">
        <v>12000</v>
      </c>
      <c r="G22" s="10">
        <f>IF(Febrero[[#This Row],[COTIZACION]]="", "", Febrero[[#This Row],[ARS]]/Febrero[[#This Row],[COTIZACION]])</f>
        <v>9.9173553719008272</v>
      </c>
      <c r="H22" s="10">
        <v>1210</v>
      </c>
    </row>
    <row r="23" spans="2:8" ht="15.5" x14ac:dyDescent="0.35">
      <c r="B23" s="9" t="s">
        <v>85</v>
      </c>
      <c r="C23" s="9" t="s">
        <v>97</v>
      </c>
      <c r="D23" s="1" t="s">
        <v>147</v>
      </c>
      <c r="E23" s="9" t="s">
        <v>148</v>
      </c>
      <c r="F23" s="10">
        <v>52500</v>
      </c>
      <c r="G23" s="10">
        <f>IF(Febrero[[#This Row],[COTIZACION]]="", "", Febrero[[#This Row],[ARS]]/Febrero[[#This Row],[COTIZACION]])</f>
        <v>43.388429752066116</v>
      </c>
      <c r="H23" s="10">
        <v>1210</v>
      </c>
    </row>
    <row r="24" spans="2:8" ht="15.5" x14ac:dyDescent="0.35">
      <c r="B24" s="9" t="s">
        <v>14</v>
      </c>
      <c r="C24" s="9" t="s">
        <v>33</v>
      </c>
      <c r="D24" s="1" t="s">
        <v>149</v>
      </c>
      <c r="E24" s="9" t="s">
        <v>79</v>
      </c>
      <c r="F24" s="10">
        <v>30000</v>
      </c>
      <c r="G24" s="10">
        <f>IF(Febrero[[#This Row],[COTIZACION]]="", "", Febrero[[#This Row],[ARS]]/Febrero[[#This Row],[COTIZACION]])</f>
        <v>24.793388429752067</v>
      </c>
      <c r="H24" s="10">
        <v>1210</v>
      </c>
    </row>
    <row r="25" spans="2:8" ht="15.5" x14ac:dyDescent="0.35">
      <c r="B25" s="9"/>
      <c r="C25" s="9"/>
      <c r="D25" s="1"/>
      <c r="E25" s="9"/>
      <c r="F25" s="10"/>
      <c r="G25" s="10" t="str">
        <f>IF(Febrero[[#This Row],[COTIZACION]]="", "", Febrero[[#This Row],[ARS]]/Febrero[[#This Row],[COTIZACION]])</f>
        <v/>
      </c>
      <c r="H25" s="10"/>
    </row>
    <row r="26" spans="2:8" ht="15.5" x14ac:dyDescent="0.35">
      <c r="B26" s="9"/>
      <c r="C26" s="9"/>
      <c r="D26" s="1"/>
      <c r="E26" s="9"/>
      <c r="F26" s="10"/>
      <c r="G26" s="10" t="str">
        <f>IF(Febrero[[#This Row],[COTIZACION]]="", "", Febrero[[#This Row],[ARS]]/Febrero[[#This Row],[COTIZACION]])</f>
        <v/>
      </c>
      <c r="H26" s="10"/>
    </row>
    <row r="27" spans="2:8" ht="15.5" x14ac:dyDescent="0.35">
      <c r="B27" s="9"/>
      <c r="C27" s="9"/>
      <c r="D27" s="1"/>
      <c r="E27" s="9"/>
      <c r="F27" s="10"/>
      <c r="G27" s="10" t="str">
        <f>IF(Febrero[[#This Row],[COTIZACION]]="", "", Febrero[[#This Row],[ARS]]/Febrero[[#This Row],[COTIZACION]])</f>
        <v/>
      </c>
      <c r="H27" s="10"/>
    </row>
    <row r="28" spans="2:8" ht="15.5" x14ac:dyDescent="0.35">
      <c r="B28" s="9"/>
      <c r="C28" s="9"/>
      <c r="D28" s="1"/>
      <c r="E28" s="9"/>
      <c r="F28" s="10"/>
      <c r="G28" s="10" t="str">
        <f>IF(Febrero[[#This Row],[COTIZACION]]="", "", Febrero[[#This Row],[ARS]]/Febrero[[#This Row],[COTIZACION]])</f>
        <v/>
      </c>
      <c r="H28" s="10"/>
    </row>
    <row r="29" spans="2:8" ht="15.5" x14ac:dyDescent="0.35">
      <c r="B29" s="9"/>
      <c r="C29" s="9"/>
      <c r="D29" s="1"/>
      <c r="E29" s="9"/>
      <c r="F29" s="10"/>
      <c r="G29" s="10" t="str">
        <f>IF(Febrero[[#This Row],[COTIZACION]]="", "", Febrero[[#This Row],[ARS]]/Febrero[[#This Row],[COTIZACION]])</f>
        <v/>
      </c>
      <c r="H29" s="10"/>
    </row>
    <row r="30" spans="2:8" ht="15.5" x14ac:dyDescent="0.35">
      <c r="B30" s="9"/>
      <c r="C30" s="9"/>
      <c r="D30" s="1"/>
      <c r="E30" s="9"/>
      <c r="F30" s="10"/>
      <c r="G30" s="10" t="str">
        <f>IF(Febrero[[#This Row],[COTIZACION]]="", "", Febrero[[#This Row],[ARS]]/Febrero[[#This Row],[COTIZACION]])</f>
        <v/>
      </c>
      <c r="H30" s="10"/>
    </row>
    <row r="31" spans="2:8" ht="15.5" x14ac:dyDescent="0.35">
      <c r="B31" s="9"/>
      <c r="C31" s="9"/>
      <c r="D31" s="1"/>
      <c r="E31" s="9"/>
      <c r="F31" s="10"/>
      <c r="G31" s="10" t="str">
        <f>IF(Febrero[[#This Row],[COTIZACION]]="", "", Febrero[[#This Row],[ARS]]/Febrero[[#This Row],[COTIZACION]])</f>
        <v/>
      </c>
      <c r="H31" s="10"/>
    </row>
    <row r="32" spans="2:8" ht="15.5" x14ac:dyDescent="0.35">
      <c r="B32" s="9"/>
      <c r="C32" s="9"/>
      <c r="D32" s="1"/>
      <c r="E32" s="9"/>
      <c r="F32" s="10"/>
      <c r="G32" s="10" t="str">
        <f>IF(Febrero[[#This Row],[COTIZACION]]="", "", Febrero[[#This Row],[ARS]]/Febrero[[#This Row],[COTIZACION]])</f>
        <v/>
      </c>
      <c r="H32" s="10"/>
    </row>
    <row r="33" spans="2:8" ht="15.5" x14ac:dyDescent="0.35">
      <c r="B33" s="9"/>
      <c r="C33" s="9"/>
      <c r="D33" s="1"/>
      <c r="E33" s="9"/>
      <c r="F33" s="10"/>
      <c r="G33" s="10" t="str">
        <f>IF(Febrero[[#This Row],[COTIZACION]]="", "", Febrero[[#This Row],[ARS]]/Febrero[[#This Row],[COTIZACION]])</f>
        <v/>
      </c>
      <c r="H33" s="10"/>
    </row>
    <row r="34" spans="2:8" ht="15.5" x14ac:dyDescent="0.35">
      <c r="B34" s="9"/>
      <c r="C34" s="9"/>
      <c r="D34" s="1"/>
      <c r="E34" s="9"/>
      <c r="F34" s="10"/>
      <c r="G34" s="10" t="str">
        <f>IF(Febrero[[#This Row],[COTIZACION]]="", "", Febrero[[#This Row],[ARS]]/Febrero[[#This Row],[COTIZACION]])</f>
        <v/>
      </c>
      <c r="H34" s="10"/>
    </row>
    <row r="35" spans="2:8" ht="15.5" x14ac:dyDescent="0.35">
      <c r="B35" s="9"/>
      <c r="C35" s="9"/>
      <c r="D35" s="1"/>
      <c r="E35" s="9"/>
      <c r="F35" s="10"/>
      <c r="G35" s="10" t="str">
        <f>IF(Febrero[[#This Row],[COTIZACION]]="", "", Febrero[[#This Row],[ARS]]/Febrero[[#This Row],[COTIZACION]])</f>
        <v/>
      </c>
      <c r="H35" s="10"/>
    </row>
    <row r="36" spans="2:8" ht="15.5" x14ac:dyDescent="0.35">
      <c r="B36" s="9"/>
      <c r="C36" s="9"/>
      <c r="D36" s="1"/>
      <c r="E36" s="9"/>
      <c r="F36" s="10"/>
      <c r="G36" s="10" t="str">
        <f>IF(Febrero[[#This Row],[COTIZACION]]="", "", Febrero[[#This Row],[ARS]]/Febrero[[#This Row],[COTIZACION]])</f>
        <v/>
      </c>
      <c r="H36" s="10"/>
    </row>
    <row r="37" spans="2:8" ht="15.5" x14ac:dyDescent="0.35">
      <c r="B37" s="9"/>
      <c r="C37" s="9"/>
      <c r="D37" s="1"/>
      <c r="E37" s="9"/>
      <c r="F37" s="10"/>
      <c r="G37" s="10" t="str">
        <f>IF(Febrero[[#This Row],[COTIZACION]]="", "", Febrero[[#This Row],[ARS]]/Febrero[[#This Row],[COTIZACION]])</f>
        <v/>
      </c>
      <c r="H37" s="10"/>
    </row>
    <row r="38" spans="2:8" ht="15.5" x14ac:dyDescent="0.35">
      <c r="B38" s="9"/>
      <c r="C38" s="9"/>
      <c r="D38" s="1"/>
      <c r="E38" s="9"/>
      <c r="F38" s="10"/>
      <c r="G38" s="10" t="str">
        <f>IF(Febrero[[#This Row],[COTIZACION]]="", "", Febrero[[#This Row],[ARS]]/Febrero[[#This Row],[COTIZACION]])</f>
        <v/>
      </c>
      <c r="H38" s="10"/>
    </row>
    <row r="39" spans="2:8" ht="15.5" x14ac:dyDescent="0.35">
      <c r="B39" s="9"/>
      <c r="C39" s="9"/>
      <c r="D39" s="1"/>
      <c r="E39" s="9"/>
      <c r="F39" s="10"/>
      <c r="G39" s="10" t="str">
        <f>IF(Febrero[[#This Row],[COTIZACION]]="", "", Febrero[[#This Row],[ARS]]/Febrero[[#This Row],[COTIZACION]])</f>
        <v/>
      </c>
      <c r="H39" s="10"/>
    </row>
    <row r="40" spans="2:8" ht="15.5" x14ac:dyDescent="0.35">
      <c r="B40" s="9"/>
      <c r="C40" s="9"/>
      <c r="D40" s="1"/>
      <c r="E40" s="9"/>
      <c r="F40" s="10"/>
      <c r="G40" s="10" t="str">
        <f>IF(Febrero[[#This Row],[COTIZACION]]="", "", Febrero[[#This Row],[ARS]]/Febrero[[#This Row],[COTIZACION]])</f>
        <v/>
      </c>
      <c r="H40" s="10"/>
    </row>
    <row r="41" spans="2:8" ht="15.5" x14ac:dyDescent="0.35">
      <c r="B41" s="9"/>
      <c r="C41" s="9"/>
      <c r="D41" s="1"/>
      <c r="E41" s="9"/>
      <c r="F41" s="10"/>
      <c r="G41" s="10" t="str">
        <f>IF(Febrero[[#This Row],[COTIZACION]]="", "", Febrero[[#This Row],[ARS]]/Febrero[[#This Row],[COTIZACION]])</f>
        <v/>
      </c>
      <c r="H41" s="10"/>
    </row>
    <row r="42" spans="2:8" ht="15.5" x14ac:dyDescent="0.35">
      <c r="B42" s="9"/>
      <c r="C42" s="9"/>
      <c r="D42" s="1"/>
      <c r="E42" s="9"/>
      <c r="F42" s="10"/>
      <c r="G42" s="10" t="str">
        <f>IF(Febrero[[#This Row],[COTIZACION]]="", "", Febrero[[#This Row],[ARS]]/Febrero[[#This Row],[COTIZACION]])</f>
        <v/>
      </c>
      <c r="H42" s="10"/>
    </row>
    <row r="43" spans="2:8" ht="15.5" x14ac:dyDescent="0.35">
      <c r="B43" s="9"/>
      <c r="C43" s="9"/>
      <c r="D43" s="1"/>
      <c r="E43" s="9"/>
      <c r="F43" s="10"/>
      <c r="G43" s="10" t="str">
        <f>IF(Febrero[[#This Row],[COTIZACION]]="", "", Febrero[[#This Row],[ARS]]/Febrero[[#This Row],[COTIZACION]])</f>
        <v/>
      </c>
      <c r="H43" s="10"/>
    </row>
    <row r="44" spans="2:8" ht="15.5" x14ac:dyDescent="0.35">
      <c r="B44" s="9"/>
      <c r="C44" s="9"/>
      <c r="D44" s="1"/>
      <c r="E44" s="9"/>
      <c r="F44" s="10"/>
      <c r="G44" s="10" t="str">
        <f>IF(Febrero[[#This Row],[COTIZACION]]="", "", Febrero[[#This Row],[ARS]]/Febrero[[#This Row],[COTIZACION]])</f>
        <v/>
      </c>
      <c r="H44" s="10"/>
    </row>
    <row r="45" spans="2:8" ht="15.5" x14ac:dyDescent="0.35">
      <c r="B45" s="9"/>
      <c r="C45" s="9"/>
      <c r="D45" s="1"/>
      <c r="E45" s="9"/>
      <c r="F45" s="10"/>
      <c r="G45" s="10" t="str">
        <f>IF(Febrero[[#This Row],[COTIZACION]]="", "", Febrero[[#This Row],[ARS]]/Febrero[[#This Row],[COTIZACION]])</f>
        <v/>
      </c>
      <c r="H45" s="10"/>
    </row>
    <row r="46" spans="2:8" ht="15.5" x14ac:dyDescent="0.35">
      <c r="B46" s="9"/>
      <c r="C46" s="9"/>
      <c r="D46" s="1"/>
      <c r="E46" s="9"/>
      <c r="F46" s="10"/>
      <c r="G46" s="10" t="str">
        <f>IF(Febrero[[#This Row],[COTIZACION]]="", "", Febrero[[#This Row],[ARS]]/Febrero[[#This Row],[COTIZACION]])</f>
        <v/>
      </c>
      <c r="H46" s="10"/>
    </row>
    <row r="47" spans="2:8" ht="15.5" x14ac:dyDescent="0.35">
      <c r="B47" s="9"/>
      <c r="C47" s="9"/>
      <c r="D47" s="1"/>
      <c r="E47" s="9"/>
      <c r="F47" s="10"/>
      <c r="G47" s="10" t="str">
        <f>IF(Febrero[[#This Row],[COTIZACION]]="", "", Febrero[[#This Row],[ARS]]/Febrero[[#This Row],[COTIZACION]])</f>
        <v/>
      </c>
      <c r="H47" s="10"/>
    </row>
    <row r="48" spans="2:8" ht="15.5" x14ac:dyDescent="0.35">
      <c r="B48" s="9"/>
      <c r="C48" s="9"/>
      <c r="D48" s="1"/>
      <c r="E48" s="9"/>
      <c r="F48" s="10"/>
      <c r="G48" s="10" t="str">
        <f>IF(Febrero[[#This Row],[COTIZACION]]="", "", Febrero[[#This Row],[ARS]]/Febrero[[#This Row],[COTIZACION]])</f>
        <v/>
      </c>
      <c r="H48" s="10"/>
    </row>
    <row r="49" spans="2:8" ht="15.5" x14ac:dyDescent="0.35">
      <c r="B49" s="9"/>
      <c r="C49" s="9"/>
      <c r="D49" s="1"/>
      <c r="E49" s="9"/>
      <c r="F49" s="10"/>
      <c r="G49" s="10" t="str">
        <f>IF(Febrero[[#This Row],[COTIZACION]]="", "", Febrero[[#This Row],[ARS]]/Febrero[[#This Row],[COTIZACION]])</f>
        <v/>
      </c>
      <c r="H49" s="10"/>
    </row>
    <row r="50" spans="2:8" ht="15.5" x14ac:dyDescent="0.35">
      <c r="B50" s="9"/>
      <c r="C50" s="9"/>
      <c r="D50" s="1"/>
      <c r="E50" s="9"/>
      <c r="F50" s="10"/>
      <c r="G50" s="10" t="str">
        <f>IF(Febrero[[#This Row],[COTIZACION]]="", "", Febrero[[#This Row],[ARS]]/Febrero[[#This Row],[COTIZACION]])</f>
        <v/>
      </c>
      <c r="H50" s="10"/>
    </row>
    <row r="51" spans="2:8" ht="15.5" x14ac:dyDescent="0.35">
      <c r="B51" s="9"/>
      <c r="C51" s="9"/>
      <c r="D51" s="1"/>
      <c r="E51" s="9"/>
      <c r="F51" s="10"/>
      <c r="G51" s="10" t="str">
        <f>IF(Febrero[[#This Row],[COTIZACION]]="", "", Febrero[[#This Row],[ARS]]/Febrero[[#This Row],[COTIZACION]])</f>
        <v/>
      </c>
      <c r="H51" s="10"/>
    </row>
    <row r="52" spans="2:8" ht="15.5" x14ac:dyDescent="0.35">
      <c r="B52" s="9"/>
      <c r="C52" s="9"/>
      <c r="D52" s="1"/>
      <c r="E52" s="9"/>
      <c r="F52" s="10"/>
      <c r="G52" s="10" t="str">
        <f>IF(Febrero[[#This Row],[COTIZACION]]="", "", Febrero[[#This Row],[ARS]]/Febrero[[#This Row],[COTIZACION]])</f>
        <v/>
      </c>
      <c r="H52" s="10"/>
    </row>
    <row r="53" spans="2:8" ht="15.5" x14ac:dyDescent="0.35">
      <c r="B53" s="9"/>
      <c r="C53" s="9"/>
      <c r="D53" s="1"/>
      <c r="E53" s="9"/>
      <c r="F53" s="10"/>
      <c r="G53" s="10" t="str">
        <f>IF(Febrero[[#This Row],[COTIZACION]]="", "", Febrero[[#This Row],[ARS]]/Febrero[[#This Row],[COTIZACION]])</f>
        <v/>
      </c>
      <c r="H53" s="10"/>
    </row>
    <row r="54" spans="2:8" ht="15.5" x14ac:dyDescent="0.35">
      <c r="B54" s="9"/>
      <c r="C54" s="9"/>
      <c r="D54" s="1"/>
      <c r="E54" s="9"/>
      <c r="F54" s="10"/>
      <c r="G54" s="10" t="str">
        <f>IF(Febrero[[#This Row],[COTIZACION]]="", "", Febrero[[#This Row],[ARS]]/Febrero[[#This Row],[COTIZACION]])</f>
        <v/>
      </c>
      <c r="H54" s="10"/>
    </row>
    <row r="55" spans="2:8" ht="15.5" x14ac:dyDescent="0.35">
      <c r="B55" s="9"/>
      <c r="C55" s="9"/>
      <c r="D55" s="1"/>
      <c r="E55" s="9"/>
      <c r="F55" s="10"/>
      <c r="G55" s="10" t="str">
        <f>IF(Febrero[[#This Row],[COTIZACION]]="", "", Febrero[[#This Row],[ARS]]/Febrero[[#This Row],[COTIZACION]])</f>
        <v/>
      </c>
      <c r="H55" s="10"/>
    </row>
    <row r="56" spans="2:8" ht="15.5" x14ac:dyDescent="0.35">
      <c r="B56" s="9"/>
      <c r="C56" s="9"/>
      <c r="D56" s="1"/>
      <c r="E56" s="9"/>
      <c r="F56" s="10"/>
      <c r="G56" s="10" t="str">
        <f>IF(Febrero[[#This Row],[COTIZACION]]="", "", Febrero[[#This Row],[ARS]]/Febrero[[#This Row],[COTIZACION]])</f>
        <v/>
      </c>
      <c r="H56" s="10"/>
    </row>
    <row r="57" spans="2:8" ht="15.5" x14ac:dyDescent="0.35">
      <c r="B57" s="9"/>
      <c r="C57" s="9"/>
      <c r="D57" s="1"/>
      <c r="E57" s="9"/>
      <c r="F57" s="10"/>
      <c r="G57" s="10" t="str">
        <f>IF(Febrero[[#This Row],[COTIZACION]]="", "", Febrero[[#This Row],[ARS]]/Febrero[[#This Row],[COTIZACION]])</f>
        <v/>
      </c>
      <c r="H57" s="10"/>
    </row>
    <row r="58" spans="2:8" ht="15.5" x14ac:dyDescent="0.35">
      <c r="B58" s="9"/>
      <c r="C58" s="9"/>
      <c r="D58" s="1"/>
      <c r="E58" s="9"/>
      <c r="F58" s="10"/>
      <c r="G58" s="10" t="str">
        <f>IF(Febrero[[#This Row],[COTIZACION]]="", "", Febrero[[#This Row],[ARS]]/Febrero[[#This Row],[COTIZACION]])</f>
        <v/>
      </c>
      <c r="H58" s="10"/>
    </row>
    <row r="59" spans="2:8" ht="15.5" x14ac:dyDescent="0.35">
      <c r="B59" s="9"/>
      <c r="C59" s="9"/>
      <c r="D59" s="1"/>
      <c r="E59" s="9"/>
      <c r="F59" s="10"/>
      <c r="G59" s="10" t="str">
        <f>IF(Febrero[[#This Row],[COTIZACION]]="", "", Febrero[[#This Row],[ARS]]/Febrero[[#This Row],[COTIZACION]])</f>
        <v/>
      </c>
      <c r="H59" s="10"/>
    </row>
    <row r="60" spans="2:8" ht="15.5" x14ac:dyDescent="0.35">
      <c r="B60" s="9"/>
      <c r="C60" s="9"/>
      <c r="D60" s="1"/>
      <c r="E60" s="9"/>
      <c r="F60" s="10"/>
      <c r="G60" s="10" t="str">
        <f>IF(Febrero[[#This Row],[COTIZACION]]="", "", Febrero[[#This Row],[ARS]]/Febrero[[#This Row],[COTIZACION]])</f>
        <v/>
      </c>
      <c r="H60" s="10"/>
    </row>
    <row r="61" spans="2:8" ht="15.5" x14ac:dyDescent="0.35">
      <c r="B61" s="9"/>
      <c r="C61" s="9"/>
      <c r="D61" s="1"/>
      <c r="E61" s="9"/>
      <c r="F61" s="10"/>
      <c r="G61" s="10" t="str">
        <f>IF(Febrero[[#This Row],[COTIZACION]]="", "", Febrero[[#This Row],[ARS]]/Febrero[[#This Row],[COTIZACION]])</f>
        <v/>
      </c>
      <c r="H61" s="10"/>
    </row>
    <row r="62" spans="2:8" ht="15.5" x14ac:dyDescent="0.35">
      <c r="B62" s="9"/>
      <c r="C62" s="9"/>
      <c r="D62" s="1"/>
      <c r="E62" s="9"/>
      <c r="F62" s="10"/>
      <c r="G62" s="10" t="str">
        <f>IF(Febrero[[#This Row],[COTIZACION]]="", "", Febrero[[#This Row],[ARS]]/Febrero[[#This Row],[COTIZACION]])</f>
        <v/>
      </c>
      <c r="H62" s="10"/>
    </row>
    <row r="63" spans="2:8" ht="15.5" x14ac:dyDescent="0.35">
      <c r="B63" s="9"/>
      <c r="C63" s="9"/>
      <c r="D63" s="1"/>
      <c r="E63" s="9"/>
      <c r="F63" s="10"/>
      <c r="G63" s="10" t="str">
        <f>IF(Febrero[[#This Row],[COTIZACION]]="", "", Febrero[[#This Row],[ARS]]/Febrero[[#This Row],[COTIZACION]])</f>
        <v/>
      </c>
      <c r="H63" s="10"/>
    </row>
    <row r="64" spans="2:8" ht="15.5" x14ac:dyDescent="0.35">
      <c r="B64" s="9"/>
      <c r="C64" s="9"/>
      <c r="D64" s="1"/>
      <c r="E64" s="9"/>
      <c r="F64" s="10"/>
      <c r="G64" s="10" t="str">
        <f>IF(Febrero[[#This Row],[COTIZACION]]="", "", Febrero[[#This Row],[ARS]]/Febrero[[#This Row],[COTIZACION]])</f>
        <v/>
      </c>
      <c r="H64" s="10"/>
    </row>
    <row r="65" spans="2:8" ht="15.5" x14ac:dyDescent="0.35">
      <c r="B65" s="9"/>
      <c r="C65" s="9"/>
      <c r="D65" s="1"/>
      <c r="E65" s="9"/>
      <c r="F65" s="10"/>
      <c r="G65" s="10" t="str">
        <f>IF(Febrero[[#This Row],[COTIZACION]]="", "", Febrero[[#This Row],[ARS]]/Febrero[[#This Row],[COTIZACION]])</f>
        <v/>
      </c>
      <c r="H65" s="10"/>
    </row>
    <row r="66" spans="2:8" ht="15.5" x14ac:dyDescent="0.35">
      <c r="B66" s="9"/>
      <c r="C66" s="9"/>
      <c r="D66" s="1"/>
      <c r="E66" s="9"/>
      <c r="F66" s="10"/>
      <c r="G66" s="10" t="str">
        <f>IF(Febrero[[#This Row],[COTIZACION]]="", "", Febrero[[#This Row],[ARS]]/Febrero[[#This Row],[COTIZACION]])</f>
        <v/>
      </c>
      <c r="H66" s="10"/>
    </row>
    <row r="67" spans="2:8" ht="15.5" x14ac:dyDescent="0.35">
      <c r="B67" s="9"/>
      <c r="C67" s="9"/>
      <c r="D67" s="1"/>
      <c r="E67" s="9"/>
      <c r="F67" s="10"/>
      <c r="G67" s="10" t="str">
        <f>IF(Febrero[[#This Row],[COTIZACION]]="", "", Febrero[[#This Row],[ARS]]/Febrero[[#This Row],[COTIZACION]])</f>
        <v/>
      </c>
      <c r="H67" s="10"/>
    </row>
    <row r="68" spans="2:8" ht="15.5" x14ac:dyDescent="0.35">
      <c r="B68" s="9"/>
      <c r="C68" s="9"/>
      <c r="D68" s="1"/>
      <c r="E68" s="9"/>
      <c r="F68" s="10"/>
      <c r="G68" s="10" t="str">
        <f>IF(Febrero[[#This Row],[COTIZACION]]="", "", Febrero[[#This Row],[ARS]]/Febrero[[#This Row],[COTIZACION]])</f>
        <v/>
      </c>
      <c r="H68" s="10"/>
    </row>
    <row r="69" spans="2:8" ht="15.5" x14ac:dyDescent="0.35">
      <c r="B69" s="9"/>
      <c r="C69" s="9"/>
      <c r="D69" s="1"/>
      <c r="E69" s="9"/>
      <c r="F69" s="10"/>
      <c r="G69" s="10" t="str">
        <f>IF(Febrero[[#This Row],[COTIZACION]]="", "", Febrero[[#This Row],[ARS]]/Febrero[[#This Row],[COTIZACION]])</f>
        <v/>
      </c>
      <c r="H69" s="10"/>
    </row>
    <row r="70" spans="2:8" ht="15.5" x14ac:dyDescent="0.35">
      <c r="B70" s="9"/>
      <c r="C70" s="9"/>
      <c r="D70" s="1"/>
      <c r="E70" s="9"/>
      <c r="F70" s="10"/>
      <c r="G70" s="10" t="str">
        <f>IF(Febrero[[#This Row],[COTIZACION]]="", "", Febrero[[#This Row],[ARS]]/Febrero[[#This Row],[COTIZACION]])</f>
        <v/>
      </c>
      <c r="H70" s="10"/>
    </row>
    <row r="71" spans="2:8" ht="15.5" x14ac:dyDescent="0.35">
      <c r="B71" s="9"/>
      <c r="C71" s="9"/>
      <c r="D71" s="1"/>
      <c r="E71" s="9"/>
      <c r="F71" s="10"/>
      <c r="G71" s="10" t="str">
        <f>IF(Febrero[[#This Row],[COTIZACION]]="", "", Febrero[[#This Row],[ARS]]/Febrero[[#This Row],[COTIZACION]])</f>
        <v/>
      </c>
      <c r="H71" s="10"/>
    </row>
    <row r="72" spans="2:8" ht="15.5" x14ac:dyDescent="0.35">
      <c r="B72" s="9"/>
      <c r="C72" s="9"/>
      <c r="D72" s="1"/>
      <c r="E72" s="9"/>
      <c r="F72" s="10"/>
      <c r="G72" s="10" t="str">
        <f>IF(Febrero[[#This Row],[COTIZACION]]="", "", Febrero[[#This Row],[ARS]]/Febrero[[#This Row],[COTIZACION]])</f>
        <v/>
      </c>
      <c r="H72" s="10"/>
    </row>
    <row r="73" spans="2:8" ht="15.5" x14ac:dyDescent="0.35">
      <c r="B73" s="9"/>
      <c r="C73" s="9"/>
      <c r="D73" s="1"/>
      <c r="E73" s="9"/>
      <c r="F73" s="10"/>
      <c r="G73" s="10" t="str">
        <f>IF(Febrero[[#This Row],[COTIZACION]]="", "", Febrero[[#This Row],[ARS]]/Febrero[[#This Row],[COTIZACION]])</f>
        <v/>
      </c>
      <c r="H73" s="10"/>
    </row>
    <row r="74" spans="2:8" ht="15.5" x14ac:dyDescent="0.35">
      <c r="B74" s="9"/>
      <c r="C74" s="9"/>
      <c r="D74" s="1"/>
      <c r="E74" s="9"/>
      <c r="F74" s="10"/>
      <c r="G74" s="10" t="str">
        <f>IF(Febrero[[#This Row],[COTIZACION]]="", "", Febrero[[#This Row],[ARS]]/Febrero[[#This Row],[COTIZACION]])</f>
        <v/>
      </c>
      <c r="H74" s="10"/>
    </row>
    <row r="75" spans="2:8" ht="15.5" x14ac:dyDescent="0.35">
      <c r="B75" s="9"/>
      <c r="C75" s="9"/>
      <c r="D75" s="1"/>
      <c r="E75" s="9"/>
      <c r="F75" s="10"/>
      <c r="G75" s="10" t="str">
        <f>IF(Febrero[[#This Row],[COTIZACION]]="", "", Febrero[[#This Row],[ARS]]/Febrero[[#This Row],[COTIZACION]])</f>
        <v/>
      </c>
      <c r="H75" s="10"/>
    </row>
    <row r="76" spans="2:8" ht="15.5" x14ac:dyDescent="0.35">
      <c r="B76" s="9"/>
      <c r="C76" s="9"/>
      <c r="D76" s="1"/>
      <c r="E76" s="9"/>
      <c r="F76" s="10"/>
      <c r="G76" s="10" t="str">
        <f>IF(Febrero[[#This Row],[COTIZACION]]="", "", Febrero[[#This Row],[ARS]]/Febrero[[#This Row],[COTIZACION]])</f>
        <v/>
      </c>
      <c r="H76" s="10"/>
    </row>
    <row r="77" spans="2:8" ht="15.5" x14ac:dyDescent="0.35">
      <c r="B77" s="9"/>
      <c r="C77" s="9"/>
      <c r="D77" s="1"/>
      <c r="E77" s="9"/>
      <c r="F77" s="10"/>
      <c r="G77" s="10" t="str">
        <f>IF(Febrero[[#This Row],[COTIZACION]]="", "", Febrero[[#This Row],[ARS]]/Febrero[[#This Row],[COTIZACION]])</f>
        <v/>
      </c>
      <c r="H77" s="10"/>
    </row>
    <row r="78" spans="2:8" ht="15.5" x14ac:dyDescent="0.35">
      <c r="B78" s="9"/>
      <c r="C78" s="9"/>
      <c r="D78" s="1"/>
      <c r="E78" s="9"/>
      <c r="F78" s="10"/>
      <c r="G78" s="10" t="str">
        <f>IF(Febrero[[#This Row],[COTIZACION]]="", "", Febrero[[#This Row],[ARS]]/Febrero[[#This Row],[COTIZACION]])</f>
        <v/>
      </c>
      <c r="H78" s="10"/>
    </row>
    <row r="79" spans="2:8" ht="15.5" x14ac:dyDescent="0.35">
      <c r="B79" s="9"/>
      <c r="C79" s="9"/>
      <c r="D79" s="1"/>
      <c r="E79" s="9"/>
      <c r="F79" s="10"/>
      <c r="G79" s="10" t="str">
        <f>IF(Febrero[[#This Row],[COTIZACION]]="", "", Febrero[[#This Row],[ARS]]/Febrero[[#This Row],[COTIZACION]])</f>
        <v/>
      </c>
      <c r="H79" s="10"/>
    </row>
    <row r="80" spans="2:8" ht="15.5" x14ac:dyDescent="0.35">
      <c r="B80" s="9"/>
      <c r="C80" s="9"/>
      <c r="D80" s="1"/>
      <c r="E80" s="9"/>
      <c r="F80" s="10"/>
      <c r="G80" s="10" t="str">
        <f>IF(Febrero[[#This Row],[COTIZACION]]="", "", Febrero[[#This Row],[ARS]]/Febrero[[#This Row],[COTIZACION]])</f>
        <v/>
      </c>
      <c r="H80" s="10"/>
    </row>
    <row r="81" spans="2:8" ht="15.5" x14ac:dyDescent="0.35">
      <c r="B81" s="9"/>
      <c r="C81" s="9"/>
      <c r="D81" s="1"/>
      <c r="E81" s="9"/>
      <c r="F81" s="10"/>
      <c r="G81" s="10" t="str">
        <f>IF(Febrero[[#This Row],[COTIZACION]]="", "", Febrero[[#This Row],[ARS]]/Febrero[[#This Row],[COTIZACION]])</f>
        <v/>
      </c>
      <c r="H81" s="10"/>
    </row>
    <row r="82" spans="2:8" ht="15.5" x14ac:dyDescent="0.35">
      <c r="B82" s="9"/>
      <c r="C82" s="9"/>
      <c r="D82" s="1"/>
      <c r="E82" s="9"/>
      <c r="F82" s="10"/>
      <c r="G82" s="10" t="str">
        <f>IF(Febrero[[#This Row],[COTIZACION]]="", "", Febrero[[#This Row],[ARS]]/Febrero[[#This Row],[COTIZACION]])</f>
        <v/>
      </c>
      <c r="H82" s="10"/>
    </row>
    <row r="83" spans="2:8" ht="15.5" x14ac:dyDescent="0.35">
      <c r="B83" s="9"/>
      <c r="C83" s="9"/>
      <c r="D83" s="1"/>
      <c r="E83" s="9"/>
      <c r="F83" s="10"/>
      <c r="G83" s="10" t="str">
        <f>IF(Febrero[[#This Row],[COTIZACION]]="", "", Febrero[[#This Row],[ARS]]/Febrero[[#This Row],[COTIZACION]])</f>
        <v/>
      </c>
      <c r="H83" s="10"/>
    </row>
    <row r="84" spans="2:8" ht="15.5" x14ac:dyDescent="0.35">
      <c r="B84" s="9"/>
      <c r="C84" s="9"/>
      <c r="D84" s="1"/>
      <c r="E84" s="9"/>
      <c r="F84" s="10"/>
      <c r="G84" s="10" t="str">
        <f>IF(Febrero[[#This Row],[COTIZACION]]="", "", Febrero[[#This Row],[ARS]]/Febrero[[#This Row],[COTIZACION]])</f>
        <v/>
      </c>
      <c r="H84" s="10"/>
    </row>
    <row r="85" spans="2:8" ht="15.5" x14ac:dyDescent="0.35">
      <c r="B85" s="9"/>
      <c r="C85" s="9"/>
      <c r="D85" s="1"/>
      <c r="E85" s="9"/>
      <c r="F85" s="10"/>
      <c r="G85" s="10" t="str">
        <f>IF(Febrero[[#This Row],[COTIZACION]]="", "", Febrero[[#This Row],[ARS]]/Febrero[[#This Row],[COTIZACION]])</f>
        <v/>
      </c>
      <c r="H85" s="10"/>
    </row>
    <row r="86" spans="2:8" ht="15.5" x14ac:dyDescent="0.35">
      <c r="B86" s="9"/>
      <c r="C86" s="9"/>
      <c r="D86" s="1"/>
      <c r="E86" s="9"/>
      <c r="F86" s="10"/>
      <c r="G86" s="10" t="str">
        <f>IF(Febrero[[#This Row],[COTIZACION]]="", "", Febrero[[#This Row],[ARS]]/Febrero[[#This Row],[COTIZACION]])</f>
        <v/>
      </c>
      <c r="H86" s="10"/>
    </row>
    <row r="87" spans="2:8" ht="15.5" x14ac:dyDescent="0.35">
      <c r="B87" s="9"/>
      <c r="C87" s="9"/>
      <c r="D87" s="1"/>
      <c r="E87" s="9"/>
      <c r="F87" s="10"/>
      <c r="G87" s="10" t="str">
        <f>IF(Febrero[[#This Row],[COTIZACION]]="", "", Febrero[[#This Row],[ARS]]/Febrero[[#This Row],[COTIZACION]])</f>
        <v/>
      </c>
      <c r="H87" s="10"/>
    </row>
    <row r="88" spans="2:8" ht="15.5" x14ac:dyDescent="0.35">
      <c r="B88" s="9"/>
      <c r="C88" s="9"/>
      <c r="D88" s="1"/>
      <c r="E88" s="9"/>
      <c r="F88" s="10"/>
      <c r="G88" s="10" t="str">
        <f>IF(Febrero[[#This Row],[COTIZACION]]="", "", Febrero[[#This Row],[ARS]]/Febrero[[#This Row],[COTIZACION]])</f>
        <v/>
      </c>
      <c r="H88" s="10"/>
    </row>
    <row r="89" spans="2:8" ht="15.5" x14ac:dyDescent="0.35">
      <c r="B89" s="9"/>
      <c r="C89" s="9"/>
      <c r="D89" s="1"/>
      <c r="E89" s="9"/>
      <c r="F89" s="10"/>
      <c r="G89" s="10" t="str">
        <f>IF(Febrero[[#This Row],[COTIZACION]]="", "", Febrero[[#This Row],[ARS]]/Febrero[[#This Row],[COTIZACION]])</f>
        <v/>
      </c>
      <c r="H89" s="10"/>
    </row>
    <row r="90" spans="2:8" ht="15.5" x14ac:dyDescent="0.35">
      <c r="B90" s="9"/>
      <c r="C90" s="9"/>
      <c r="D90" s="1"/>
      <c r="E90" s="9"/>
      <c r="F90" s="10"/>
      <c r="G90" s="10" t="str">
        <f>IF(Febrero[[#This Row],[COTIZACION]]="", "", Febrero[[#This Row],[ARS]]/Febrero[[#This Row],[COTIZACION]])</f>
        <v/>
      </c>
      <c r="H90" s="10"/>
    </row>
    <row r="91" spans="2:8" ht="15.5" x14ac:dyDescent="0.35">
      <c r="B91" s="9"/>
      <c r="C91" s="9"/>
      <c r="D91" s="1"/>
      <c r="E91" s="9"/>
      <c r="F91" s="10"/>
      <c r="G91" s="10" t="str">
        <f>IF(Febrero[[#This Row],[COTIZACION]]="", "", Febrero[[#This Row],[ARS]]/Febrero[[#This Row],[COTIZACION]])</f>
        <v/>
      </c>
      <c r="H91" s="10"/>
    </row>
    <row r="92" spans="2:8" ht="15.5" x14ac:dyDescent="0.35">
      <c r="B92" s="9"/>
      <c r="C92" s="9"/>
      <c r="D92" s="1"/>
      <c r="E92" s="9"/>
      <c r="F92" s="10"/>
      <c r="G92" s="10" t="str">
        <f>IF(Febrero[[#This Row],[COTIZACION]]="", "", Febrero[[#This Row],[ARS]]/Febrero[[#This Row],[COTIZACION]])</f>
        <v/>
      </c>
      <c r="H92" s="10"/>
    </row>
    <row r="93" spans="2:8" ht="15.5" x14ac:dyDescent="0.35">
      <c r="B93" s="35"/>
      <c r="C93" s="35"/>
      <c r="D93" s="36"/>
      <c r="E93" s="35"/>
      <c r="F93" s="37"/>
      <c r="G93" s="37" t="str">
        <f>IF(Febrero[[#This Row],[COTIZACION]]="", "", Febrero[[#This Row],[ARS]]/Febrero[[#This Row],[COTIZACION]])</f>
        <v/>
      </c>
      <c r="H93" s="37"/>
    </row>
    <row r="94" spans="2:8" ht="15.5" x14ac:dyDescent="0.35">
      <c r="B94" s="102"/>
      <c r="C94" s="102"/>
      <c r="D94" s="103"/>
      <c r="E94" s="102"/>
      <c r="F94" s="37"/>
      <c r="G94" s="37"/>
      <c r="H94" s="104"/>
    </row>
  </sheetData>
  <mergeCells count="1">
    <mergeCell ref="F1:H1"/>
  </mergeCells>
  <phoneticPr fontId="3" type="noConversion"/>
  <dataValidations count="2">
    <dataValidation type="list" allowBlank="1" showInputMessage="1" showErrorMessage="1" sqref="B6:B93" xr:uid="{00000000-0002-0000-0500-000000000000}">
      <formula1>Categorías</formula1>
    </dataValidation>
    <dataValidation type="list" allowBlank="1" showInputMessage="1" showErrorMessage="1" sqref="C6:C93" xr:uid="{00000000-0002-0000-0500-000001000000}">
      <formula1>INDIRECT($B6)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1002"/>
  <sheetViews>
    <sheetView showGridLines="0" zoomScale="110" zoomScaleNormal="110" workbookViewId="0">
      <pane ySplit="5" topLeftCell="A6" activePane="bottomLeft" state="frozen"/>
      <selection activeCell="C32" sqref="C32"/>
      <selection pane="bottomLeft" activeCell="D13" sqref="D13"/>
    </sheetView>
  </sheetViews>
  <sheetFormatPr defaultColWidth="9.08984375" defaultRowHeight="14.5" x14ac:dyDescent="0.35"/>
  <cols>
    <col min="1" max="1" width="5.54296875" customWidth="1"/>
    <col min="2" max="2" width="23.08984375" customWidth="1"/>
    <col min="3" max="3" width="26.54296875" customWidth="1"/>
    <col min="4" max="4" width="12.6328125" style="2" customWidth="1"/>
    <col min="5" max="5" width="37" customWidth="1"/>
    <col min="6" max="8" width="17.36328125" style="3" customWidth="1"/>
    <col min="9" max="10" width="9.08984375" customWidth="1"/>
    <col min="11" max="11" width="9.08984375" style="2" customWidth="1"/>
    <col min="12" max="12" width="16.54296875" bestFit="1" customWidth="1"/>
    <col min="13" max="13" width="11.90625" bestFit="1" customWidth="1"/>
    <col min="14" max="14" width="15.54296875" bestFit="1" customWidth="1"/>
  </cols>
  <sheetData>
    <row r="1" spans="2:12" s="4" customFormat="1" ht="18.5" x14ac:dyDescent="0.45">
      <c r="B1" s="25" t="s">
        <v>34</v>
      </c>
      <c r="C1" s="25"/>
      <c r="D1" s="25"/>
      <c r="E1" s="25"/>
      <c r="F1" s="137" t="s">
        <v>17</v>
      </c>
      <c r="G1" s="137"/>
      <c r="H1" s="137"/>
      <c r="K1" s="5"/>
    </row>
    <row r="2" spans="2:12" s="6" customFormat="1" ht="15" customHeight="1" x14ac:dyDescent="0.35">
      <c r="B2" s="2"/>
      <c r="D2" s="8"/>
      <c r="E2" s="27" t="s">
        <v>59</v>
      </c>
      <c r="F2" s="28">
        <f>SUM(Marzo[ARS])</f>
        <v>2109040</v>
      </c>
      <c r="G2" s="28">
        <f>SUM(Marzo[USD])</f>
        <v>1753.9975206611571</v>
      </c>
      <c r="H2" s="28"/>
      <c r="K2" s="8"/>
    </row>
    <row r="3" spans="2:12" s="6" customFormat="1" ht="15" customHeight="1" x14ac:dyDescent="0.35">
      <c r="B3" s="2"/>
      <c r="D3" s="8"/>
      <c r="E3" s="27" t="s">
        <v>65</v>
      </c>
      <c r="F3" s="29">
        <f>MAX(Marzo[ARS])</f>
        <v>902000</v>
      </c>
      <c r="G3" s="29">
        <f>MAX(Marzo[USD])</f>
        <v>751.66666666666663</v>
      </c>
      <c r="H3" s="29">
        <f>MAX(Marzo[COTIZACION])</f>
        <v>1210</v>
      </c>
      <c r="K3" s="8"/>
    </row>
    <row r="4" spans="2:12" s="6" customFormat="1" ht="15" customHeight="1" x14ac:dyDescent="0.35">
      <c r="B4" s="2"/>
      <c r="D4" s="8"/>
      <c r="E4" s="27" t="s">
        <v>66</v>
      </c>
      <c r="F4" s="29">
        <f>MIN(Marzo[ARS])</f>
        <v>5900</v>
      </c>
      <c r="G4" s="29">
        <f>MIN(Marzo[USD])</f>
        <v>4.8760330578512399</v>
      </c>
      <c r="H4" s="29">
        <f>MIN(Marzo[COTIZACION])</f>
        <v>1200</v>
      </c>
      <c r="K4" s="8"/>
    </row>
    <row r="5" spans="2:12" s="6" customFormat="1" ht="19.5" customHeight="1" x14ac:dyDescent="0.35">
      <c r="B5" s="31" t="s">
        <v>35</v>
      </c>
      <c r="C5" s="31" t="s">
        <v>36</v>
      </c>
      <c r="D5" s="31" t="s">
        <v>37</v>
      </c>
      <c r="E5" s="31" t="s">
        <v>13</v>
      </c>
      <c r="F5" s="31" t="s">
        <v>64</v>
      </c>
      <c r="G5" s="31" t="s">
        <v>63</v>
      </c>
      <c r="H5" s="31" t="s">
        <v>62</v>
      </c>
      <c r="I5" s="7"/>
      <c r="K5" s="8"/>
      <c r="L5"/>
    </row>
    <row r="6" spans="2:12" ht="15.5" x14ac:dyDescent="0.35">
      <c r="B6" s="9" t="s">
        <v>14</v>
      </c>
      <c r="C6" s="9" t="s">
        <v>72</v>
      </c>
      <c r="D6" s="1">
        <v>45780</v>
      </c>
      <c r="E6" s="9" t="s">
        <v>140</v>
      </c>
      <c r="F6" s="10">
        <v>453500</v>
      </c>
      <c r="G6" s="10">
        <f>IF(Marzo[[#This Row],[COTIZACION]]="", "", Marzo[[#This Row],[ARS]]/Marzo[[#This Row],[COTIZACION]])</f>
        <v>374.79338842975204</v>
      </c>
      <c r="H6" s="10">
        <v>1210</v>
      </c>
    </row>
    <row r="7" spans="2:12" ht="15.5" x14ac:dyDescent="0.35">
      <c r="B7" s="9" t="s">
        <v>14</v>
      </c>
      <c r="C7" s="9" t="s">
        <v>72</v>
      </c>
      <c r="D7" s="1">
        <v>45780</v>
      </c>
      <c r="E7" s="96" t="s">
        <v>96</v>
      </c>
      <c r="F7" s="10">
        <v>5900</v>
      </c>
      <c r="G7" s="10">
        <f>IF(Marzo[[#This Row],[COTIZACION]]="", "", Marzo[[#This Row],[ARS]]/Marzo[[#This Row],[COTIZACION]])</f>
        <v>4.8760330578512399</v>
      </c>
      <c r="H7" s="98">
        <v>1210</v>
      </c>
    </row>
    <row r="8" spans="2:12" ht="15.5" x14ac:dyDescent="0.35">
      <c r="B8" s="96" t="s">
        <v>14</v>
      </c>
      <c r="C8" s="96" t="s">
        <v>75</v>
      </c>
      <c r="D8" s="97">
        <v>45933</v>
      </c>
      <c r="E8" s="96" t="s">
        <v>102</v>
      </c>
      <c r="F8" s="98">
        <v>260000</v>
      </c>
      <c r="G8" s="10">
        <f>IF(Marzo[[#This Row],[COTIZACION]]="", "", Marzo[[#This Row],[ARS]]/Marzo[[#This Row],[COTIZACION]])</f>
        <v>216.66666666666666</v>
      </c>
      <c r="H8" s="98">
        <v>1200</v>
      </c>
    </row>
    <row r="9" spans="2:12" ht="15.5" x14ac:dyDescent="0.35">
      <c r="B9" s="9" t="s">
        <v>8</v>
      </c>
      <c r="C9" s="9" t="s">
        <v>73</v>
      </c>
      <c r="D9" s="1">
        <v>45933</v>
      </c>
      <c r="E9" s="9" t="s">
        <v>142</v>
      </c>
      <c r="F9" s="111">
        <v>63000</v>
      </c>
      <c r="G9" s="10">
        <f>IF(Marzo[[#This Row],[COTIZACION]]="", "", Marzo[[#This Row],[ARS]]/Marzo[[#This Row],[COTIZACION]])</f>
        <v>52.5</v>
      </c>
      <c r="H9" s="10">
        <v>1200</v>
      </c>
    </row>
    <row r="10" spans="2:12" ht="15.5" x14ac:dyDescent="0.35">
      <c r="B10" s="9" t="s">
        <v>8</v>
      </c>
      <c r="C10" s="9" t="s">
        <v>73</v>
      </c>
      <c r="D10" s="1">
        <v>45933</v>
      </c>
      <c r="E10" s="9" t="s">
        <v>154</v>
      </c>
      <c r="F10" s="111">
        <v>40000</v>
      </c>
      <c r="G10" s="10">
        <f>IF(Marzo[[#This Row],[COTIZACION]]="", "", Marzo[[#This Row],[ARS]]/Marzo[[#This Row],[COTIZACION]])</f>
        <v>33.333333333333336</v>
      </c>
      <c r="H10" s="98">
        <v>1200</v>
      </c>
    </row>
    <row r="11" spans="2:12" ht="15.5" x14ac:dyDescent="0.35">
      <c r="B11" s="96" t="s">
        <v>85</v>
      </c>
      <c r="C11" s="96" t="s">
        <v>97</v>
      </c>
      <c r="D11" s="97">
        <v>45932</v>
      </c>
      <c r="E11" s="96" t="s">
        <v>97</v>
      </c>
      <c r="F11" s="98">
        <v>72240</v>
      </c>
      <c r="G11" s="10">
        <f>IF(Marzo[[#This Row],[COTIZACION]]="", "", Marzo[[#This Row],[ARS]]/Marzo[[#This Row],[COTIZACION]])</f>
        <v>60.2</v>
      </c>
      <c r="H11" s="98">
        <v>1200</v>
      </c>
    </row>
    <row r="12" spans="2:12" ht="15.5" x14ac:dyDescent="0.35">
      <c r="B12" s="96"/>
      <c r="C12" s="96"/>
      <c r="D12" s="97"/>
      <c r="E12" s="96"/>
      <c r="F12" s="121"/>
      <c r="G12" s="10" t="str">
        <f>IF(Marzo[[#This Row],[COTIZACION]]="", "", Marzo[[#This Row],[ARS]]/Marzo[[#This Row],[COTIZACION]])</f>
        <v/>
      </c>
      <c r="H12" s="98"/>
    </row>
    <row r="13" spans="2:12" ht="15.5" x14ac:dyDescent="0.35">
      <c r="B13" s="9" t="s">
        <v>14</v>
      </c>
      <c r="C13" s="9" t="s">
        <v>33</v>
      </c>
      <c r="D13" s="1">
        <v>45691</v>
      </c>
      <c r="E13" s="9" t="s">
        <v>150</v>
      </c>
      <c r="F13" s="10">
        <v>40000</v>
      </c>
      <c r="G13" s="10">
        <f>IF(Marzo[[#This Row],[COTIZACION]]="", "", Marzo[[#This Row],[ARS]]/Marzo[[#This Row],[COTIZACION]])</f>
        <v>33.057851239669418</v>
      </c>
      <c r="H13" s="10">
        <v>1210</v>
      </c>
    </row>
    <row r="14" spans="2:12" ht="15.5" x14ac:dyDescent="0.35">
      <c r="B14" s="9" t="s">
        <v>14</v>
      </c>
      <c r="C14" s="9" t="s">
        <v>33</v>
      </c>
      <c r="D14" s="1" t="s">
        <v>138</v>
      </c>
      <c r="E14" s="9" t="s">
        <v>151</v>
      </c>
      <c r="F14" s="10">
        <v>902000</v>
      </c>
      <c r="G14" s="10">
        <f>IF(Marzo[[#This Row],[COTIZACION]]="", "", Marzo[[#This Row],[ARS]]/Marzo[[#This Row],[COTIZACION]])</f>
        <v>751.66666666666663</v>
      </c>
      <c r="H14" s="10">
        <v>1200</v>
      </c>
    </row>
    <row r="15" spans="2:12" ht="15.5" x14ac:dyDescent="0.35">
      <c r="B15" s="96" t="s">
        <v>14</v>
      </c>
      <c r="C15" s="96" t="s">
        <v>33</v>
      </c>
      <c r="D15" s="97">
        <v>45903</v>
      </c>
      <c r="E15" s="9" t="s">
        <v>152</v>
      </c>
      <c r="F15" s="10">
        <v>14000</v>
      </c>
      <c r="G15" s="10">
        <f>IF(Marzo[[#This Row],[COTIZACION]]="", "", Marzo[[#This Row],[ARS]]/Marzo[[#This Row],[COTIZACION]])</f>
        <v>11.570247933884298</v>
      </c>
      <c r="H15" s="10">
        <v>1210</v>
      </c>
    </row>
    <row r="16" spans="2:12" ht="15.5" x14ac:dyDescent="0.35">
      <c r="B16" s="9" t="s">
        <v>14</v>
      </c>
      <c r="C16" s="9" t="s">
        <v>33</v>
      </c>
      <c r="D16" s="1">
        <v>45933</v>
      </c>
      <c r="E16" s="9" t="s">
        <v>153</v>
      </c>
      <c r="F16" s="10">
        <v>16000</v>
      </c>
      <c r="G16" s="10">
        <f>IF(Marzo[[#This Row],[COTIZACION]]="", "", Marzo[[#This Row],[ARS]]/Marzo[[#This Row],[COTIZACION]])</f>
        <v>13.333333333333334</v>
      </c>
      <c r="H16" s="10">
        <v>1200</v>
      </c>
    </row>
    <row r="17" spans="2:8" ht="15.5" x14ac:dyDescent="0.35">
      <c r="B17" s="9" t="s">
        <v>14</v>
      </c>
      <c r="C17" s="9" t="s">
        <v>33</v>
      </c>
      <c r="D17" s="1" t="s">
        <v>155</v>
      </c>
      <c r="E17" s="9" t="s">
        <v>156</v>
      </c>
      <c r="F17" s="10">
        <v>8000</v>
      </c>
      <c r="G17" s="10">
        <f>IF(Marzo[[#This Row],[COTIZACION]]="", "", Marzo[[#This Row],[ARS]]/Marzo[[#This Row],[COTIZACION]])</f>
        <v>6.666666666666667</v>
      </c>
      <c r="H17" s="10">
        <v>1200</v>
      </c>
    </row>
    <row r="18" spans="2:8" ht="15.5" x14ac:dyDescent="0.35">
      <c r="B18" s="9" t="s">
        <v>14</v>
      </c>
      <c r="C18" s="9" t="s">
        <v>33</v>
      </c>
      <c r="D18" s="1">
        <v>45660</v>
      </c>
      <c r="E18" s="9" t="s">
        <v>156</v>
      </c>
      <c r="F18" s="10">
        <v>8000</v>
      </c>
      <c r="G18" s="10">
        <f>IF(Marzo[[#This Row],[COTIZACION]]="", "", Marzo[[#This Row],[ARS]]/Marzo[[#This Row],[COTIZACION]])</f>
        <v>6.666666666666667</v>
      </c>
      <c r="H18" s="10">
        <v>1200</v>
      </c>
    </row>
    <row r="19" spans="2:8" ht="15.5" x14ac:dyDescent="0.35">
      <c r="B19" s="9" t="s">
        <v>14</v>
      </c>
      <c r="C19" s="9" t="s">
        <v>33</v>
      </c>
      <c r="D19" s="1" t="s">
        <v>157</v>
      </c>
      <c r="E19" s="9" t="s">
        <v>156</v>
      </c>
      <c r="F19" s="10">
        <v>80000</v>
      </c>
      <c r="G19" s="10">
        <f>IF(Marzo[[#This Row],[COTIZACION]]="", "", Marzo[[#This Row],[ARS]]/Marzo[[#This Row],[COTIZACION]])</f>
        <v>66.666666666666671</v>
      </c>
      <c r="H19" s="10">
        <v>1200</v>
      </c>
    </row>
    <row r="20" spans="2:8" ht="15.75" customHeight="1" x14ac:dyDescent="0.35">
      <c r="B20" s="9" t="s">
        <v>8</v>
      </c>
      <c r="C20" s="9" t="s">
        <v>106</v>
      </c>
      <c r="D20" s="1" t="s">
        <v>158</v>
      </c>
      <c r="E20" s="9" t="s">
        <v>159</v>
      </c>
      <c r="F20" s="10">
        <v>146400</v>
      </c>
      <c r="G20" s="10">
        <f>IF(Marzo[[#This Row],[COTIZACION]]="", "", Marzo[[#This Row],[ARS]]/Marzo[[#This Row],[COTIZACION]])</f>
        <v>122</v>
      </c>
      <c r="H20" s="10">
        <v>1200</v>
      </c>
    </row>
    <row r="21" spans="2:8" ht="15.5" x14ac:dyDescent="0.35">
      <c r="B21" s="9"/>
      <c r="C21" s="9"/>
      <c r="D21" s="1"/>
      <c r="E21" s="9"/>
      <c r="F21" s="10"/>
      <c r="G21" s="10" t="str">
        <f>IF(Marzo[[#This Row],[COTIZACION]]="", "", Marzo[[#This Row],[ARS]]/Marzo[[#This Row],[COTIZACION]])</f>
        <v/>
      </c>
      <c r="H21" s="10"/>
    </row>
    <row r="22" spans="2:8" ht="15.5" x14ac:dyDescent="0.35">
      <c r="B22" s="9"/>
      <c r="C22" s="9"/>
      <c r="D22" s="1"/>
      <c r="E22" s="9"/>
      <c r="F22" s="10"/>
      <c r="G22" s="10" t="str">
        <f>IF(Marzo[[#This Row],[COTIZACION]]="", "", Marzo[[#This Row],[ARS]]/Marzo[[#This Row],[COTIZACION]])</f>
        <v/>
      </c>
      <c r="H22" s="10"/>
    </row>
    <row r="23" spans="2:8" ht="15.5" x14ac:dyDescent="0.35">
      <c r="B23" s="9"/>
      <c r="C23" s="9"/>
      <c r="D23" s="1"/>
      <c r="E23" s="9"/>
      <c r="F23" s="10"/>
      <c r="G23" s="10" t="str">
        <f>IF(Marzo[[#This Row],[COTIZACION]]="", "", Marzo[[#This Row],[ARS]]/Marzo[[#This Row],[COTIZACION]])</f>
        <v/>
      </c>
      <c r="H23" s="10"/>
    </row>
    <row r="24" spans="2:8" ht="15.5" x14ac:dyDescent="0.35">
      <c r="B24" s="9"/>
      <c r="C24" s="9"/>
      <c r="D24" s="1"/>
      <c r="E24" s="9"/>
      <c r="F24" s="10"/>
      <c r="G24" s="10" t="str">
        <f>IF(Marzo[[#This Row],[COTIZACION]]="", "", Marzo[[#This Row],[ARS]]/Marzo[[#This Row],[COTIZACION]])</f>
        <v/>
      </c>
      <c r="H24" s="10"/>
    </row>
    <row r="25" spans="2:8" ht="15.5" x14ac:dyDescent="0.35">
      <c r="B25" s="9"/>
      <c r="C25" s="9"/>
      <c r="D25" s="1"/>
      <c r="E25" s="9"/>
      <c r="F25" s="10"/>
      <c r="G25" s="10" t="str">
        <f>IF(Marzo[[#This Row],[COTIZACION]]="", "", Marzo[[#This Row],[ARS]]/Marzo[[#This Row],[COTIZACION]])</f>
        <v/>
      </c>
      <c r="H25" s="10"/>
    </row>
    <row r="26" spans="2:8" ht="15.5" x14ac:dyDescent="0.35">
      <c r="B26" s="9"/>
      <c r="C26" s="9"/>
      <c r="D26" s="1"/>
      <c r="E26" s="9"/>
      <c r="F26" s="10"/>
      <c r="G26" s="10" t="str">
        <f>IF(Marzo[[#This Row],[COTIZACION]]="", "", Marzo[[#This Row],[ARS]]/Marzo[[#This Row],[COTIZACION]])</f>
        <v/>
      </c>
      <c r="H26" s="10"/>
    </row>
    <row r="27" spans="2:8" ht="15.5" x14ac:dyDescent="0.35">
      <c r="B27" s="9"/>
      <c r="C27" s="9"/>
      <c r="D27" s="1"/>
      <c r="E27" s="9"/>
      <c r="F27" s="10"/>
      <c r="G27" s="10" t="str">
        <f>IF(Marzo[[#This Row],[COTIZACION]]="", "", Marzo[[#This Row],[ARS]]/Marzo[[#This Row],[COTIZACION]])</f>
        <v/>
      </c>
      <c r="H27" s="10"/>
    </row>
    <row r="28" spans="2:8" ht="15.5" x14ac:dyDescent="0.35">
      <c r="B28" s="9"/>
      <c r="C28" s="9"/>
      <c r="D28" s="1"/>
      <c r="E28" s="9"/>
      <c r="F28" s="10"/>
      <c r="G28" s="10" t="str">
        <f>IF(Marzo[[#This Row],[COTIZACION]]="", "", Marzo[[#This Row],[ARS]]/Marzo[[#This Row],[COTIZACION]])</f>
        <v/>
      </c>
      <c r="H28" s="10"/>
    </row>
    <row r="29" spans="2:8" ht="15.5" x14ac:dyDescent="0.35">
      <c r="B29" s="9"/>
      <c r="C29" s="9"/>
      <c r="D29" s="1"/>
      <c r="E29" s="9"/>
      <c r="F29" s="10"/>
      <c r="G29" s="10" t="str">
        <f>IF(Marzo[[#This Row],[COTIZACION]]="", "", Marzo[[#This Row],[ARS]]/Marzo[[#This Row],[COTIZACION]])</f>
        <v/>
      </c>
      <c r="H29" s="10"/>
    </row>
    <row r="30" spans="2:8" ht="15.5" x14ac:dyDescent="0.35">
      <c r="B30" s="9"/>
      <c r="C30" s="9"/>
      <c r="D30" s="1"/>
      <c r="E30" s="9"/>
      <c r="F30" s="10"/>
      <c r="G30" s="10" t="str">
        <f>IF(Marzo[[#This Row],[COTIZACION]]="", "", Marzo[[#This Row],[ARS]]/Marzo[[#This Row],[COTIZACION]])</f>
        <v/>
      </c>
      <c r="H30" s="10"/>
    </row>
    <row r="31" spans="2:8" ht="15.5" x14ac:dyDescent="0.35">
      <c r="B31" s="9"/>
      <c r="C31" s="9"/>
      <c r="D31" s="1"/>
      <c r="E31" s="9"/>
      <c r="F31" s="10"/>
      <c r="G31" s="10" t="str">
        <f>IF(Marzo[[#This Row],[COTIZACION]]="", "", Marzo[[#This Row],[ARS]]/Marzo[[#This Row],[COTIZACION]])</f>
        <v/>
      </c>
      <c r="H31" s="10"/>
    </row>
    <row r="32" spans="2:8" ht="15.5" x14ac:dyDescent="0.35">
      <c r="B32" s="9"/>
      <c r="C32" s="9"/>
      <c r="D32" s="1"/>
      <c r="E32" s="9"/>
      <c r="F32" s="10"/>
      <c r="G32" s="10" t="str">
        <f>IF(Marzo[[#This Row],[COTIZACION]]="", "", Marzo[[#This Row],[ARS]]/Marzo[[#This Row],[COTIZACION]])</f>
        <v/>
      </c>
      <c r="H32" s="10"/>
    </row>
    <row r="33" spans="2:8" ht="15.5" x14ac:dyDescent="0.35">
      <c r="B33" s="9"/>
      <c r="C33" s="9"/>
      <c r="D33" s="1"/>
      <c r="E33" s="9"/>
      <c r="F33" s="10"/>
      <c r="G33" s="10" t="str">
        <f>IF(Marzo[[#This Row],[COTIZACION]]="", "", Marzo[[#This Row],[ARS]]/Marzo[[#This Row],[COTIZACION]])</f>
        <v/>
      </c>
      <c r="H33" s="10"/>
    </row>
    <row r="34" spans="2:8" ht="15.5" x14ac:dyDescent="0.35">
      <c r="B34" s="9"/>
      <c r="C34" s="9"/>
      <c r="D34" s="1"/>
      <c r="E34" s="9"/>
      <c r="F34" s="10"/>
      <c r="G34" s="10" t="str">
        <f>IF(Marzo[[#This Row],[COTIZACION]]="", "", Marzo[[#This Row],[ARS]]/Marzo[[#This Row],[COTIZACION]])</f>
        <v/>
      </c>
      <c r="H34" s="10"/>
    </row>
    <row r="35" spans="2:8" ht="15.5" x14ac:dyDescent="0.35">
      <c r="B35" s="9"/>
      <c r="C35" s="9"/>
      <c r="D35" s="1"/>
      <c r="E35" s="9"/>
      <c r="F35" s="10"/>
      <c r="G35" s="10" t="str">
        <f>IF(Marzo[[#This Row],[COTIZACION]]="", "", Marzo[[#This Row],[ARS]]/Marzo[[#This Row],[COTIZACION]])</f>
        <v/>
      </c>
      <c r="H35" s="10"/>
    </row>
    <row r="36" spans="2:8" ht="15.5" x14ac:dyDescent="0.35">
      <c r="B36" s="9"/>
      <c r="C36" s="9"/>
      <c r="D36" s="1"/>
      <c r="E36" s="9"/>
      <c r="F36" s="10"/>
      <c r="G36" s="10" t="str">
        <f>IF(Marzo[[#This Row],[COTIZACION]]="", "", Marzo[[#This Row],[ARS]]/Marzo[[#This Row],[COTIZACION]])</f>
        <v/>
      </c>
      <c r="H36" s="10"/>
    </row>
    <row r="37" spans="2:8" ht="15.5" x14ac:dyDescent="0.35">
      <c r="B37" s="9"/>
      <c r="C37" s="9"/>
      <c r="D37" s="1"/>
      <c r="E37" s="9"/>
      <c r="F37" s="10"/>
      <c r="G37" s="10" t="str">
        <f>IF(Marzo[[#This Row],[COTIZACION]]="", "", Marzo[[#This Row],[ARS]]/Marzo[[#This Row],[COTIZACION]])</f>
        <v/>
      </c>
      <c r="H37" s="10"/>
    </row>
    <row r="38" spans="2:8" ht="15.5" x14ac:dyDescent="0.35">
      <c r="B38" s="9"/>
      <c r="C38" s="9"/>
      <c r="D38" s="1"/>
      <c r="E38" s="9"/>
      <c r="F38" s="10"/>
      <c r="G38" s="10" t="str">
        <f>IF(Marzo[[#This Row],[COTIZACION]]="", "", Marzo[[#This Row],[ARS]]/Marzo[[#This Row],[COTIZACION]])</f>
        <v/>
      </c>
      <c r="H38" s="10"/>
    </row>
    <row r="39" spans="2:8" ht="15.5" x14ac:dyDescent="0.35">
      <c r="B39" s="9"/>
      <c r="C39" s="9"/>
      <c r="D39" s="1"/>
      <c r="E39" s="9"/>
      <c r="F39" s="10"/>
      <c r="G39" s="10" t="str">
        <f>IF(Marzo[[#This Row],[COTIZACION]]="", "", Marzo[[#This Row],[ARS]]/Marzo[[#This Row],[COTIZACION]])</f>
        <v/>
      </c>
      <c r="H39" s="10"/>
    </row>
    <row r="40" spans="2:8" ht="15.5" x14ac:dyDescent="0.35">
      <c r="B40" s="9"/>
      <c r="C40" s="9"/>
      <c r="D40" s="1"/>
      <c r="E40" s="9"/>
      <c r="F40" s="10"/>
      <c r="G40" s="10" t="str">
        <f>IF(Marzo[[#This Row],[COTIZACION]]="", "", Marzo[[#This Row],[ARS]]/Marzo[[#This Row],[COTIZACION]])</f>
        <v/>
      </c>
      <c r="H40" s="10"/>
    </row>
    <row r="41" spans="2:8" ht="15.5" x14ac:dyDescent="0.35">
      <c r="B41" s="9"/>
      <c r="C41" s="9"/>
      <c r="D41" s="1"/>
      <c r="E41" s="9"/>
      <c r="F41" s="10"/>
      <c r="G41" s="10" t="str">
        <f>IF(Marzo[[#This Row],[COTIZACION]]="", "", Marzo[[#This Row],[ARS]]/Marzo[[#This Row],[COTIZACION]])</f>
        <v/>
      </c>
      <c r="H41" s="10"/>
    </row>
    <row r="42" spans="2:8" ht="15.5" x14ac:dyDescent="0.35">
      <c r="B42" s="9"/>
      <c r="C42" s="9"/>
      <c r="D42" s="1"/>
      <c r="E42" s="9"/>
      <c r="F42" s="10"/>
      <c r="G42" s="10" t="str">
        <f>IF(Marzo[[#This Row],[COTIZACION]]="", "", Marzo[[#This Row],[ARS]]/Marzo[[#This Row],[COTIZACION]])</f>
        <v/>
      </c>
      <c r="H42" s="10"/>
    </row>
    <row r="43" spans="2:8" ht="15.5" x14ac:dyDescent="0.35">
      <c r="B43" s="9"/>
      <c r="C43" s="9"/>
      <c r="D43" s="1"/>
      <c r="E43" s="9"/>
      <c r="F43" s="10"/>
      <c r="G43" s="10" t="str">
        <f>IF(Marzo[[#This Row],[COTIZACION]]="", "", Marzo[[#This Row],[ARS]]/Marzo[[#This Row],[COTIZACION]])</f>
        <v/>
      </c>
      <c r="H43" s="10"/>
    </row>
    <row r="44" spans="2:8" ht="15.5" x14ac:dyDescent="0.35">
      <c r="B44" s="9"/>
      <c r="C44" s="9"/>
      <c r="D44" s="1"/>
      <c r="E44" s="9"/>
      <c r="F44" s="10"/>
      <c r="G44" s="10" t="str">
        <f>IF(Marzo[[#This Row],[COTIZACION]]="", "", Marzo[[#This Row],[ARS]]/Marzo[[#This Row],[COTIZACION]])</f>
        <v/>
      </c>
      <c r="H44" s="10"/>
    </row>
    <row r="45" spans="2:8" ht="15.5" x14ac:dyDescent="0.35">
      <c r="B45" s="9"/>
      <c r="C45" s="9"/>
      <c r="D45" s="1"/>
      <c r="E45" s="9"/>
      <c r="F45" s="10"/>
      <c r="G45" s="10" t="str">
        <f>IF(Marzo[[#This Row],[COTIZACION]]="", "", Marzo[[#This Row],[ARS]]/Marzo[[#This Row],[COTIZACION]])</f>
        <v/>
      </c>
      <c r="H45" s="10"/>
    </row>
    <row r="46" spans="2:8" ht="15.5" x14ac:dyDescent="0.35">
      <c r="B46" s="9"/>
      <c r="C46" s="9"/>
      <c r="D46" s="1"/>
      <c r="E46" s="9"/>
      <c r="F46" s="10"/>
      <c r="G46" s="10" t="str">
        <f>IF(Marzo[[#This Row],[COTIZACION]]="", "", Marzo[[#This Row],[ARS]]/Marzo[[#This Row],[COTIZACION]])</f>
        <v/>
      </c>
      <c r="H46" s="10"/>
    </row>
    <row r="47" spans="2:8" ht="15.5" x14ac:dyDescent="0.35">
      <c r="B47" s="9"/>
      <c r="C47" s="9"/>
      <c r="D47" s="1"/>
      <c r="E47" s="9"/>
      <c r="F47" s="10"/>
      <c r="G47" s="10" t="str">
        <f>IF(Marzo[[#This Row],[COTIZACION]]="", "", Marzo[[#This Row],[ARS]]/Marzo[[#This Row],[COTIZACION]])</f>
        <v/>
      </c>
      <c r="H47" s="10"/>
    </row>
    <row r="48" spans="2:8" ht="15.5" x14ac:dyDescent="0.35">
      <c r="B48" s="9"/>
      <c r="C48" s="9"/>
      <c r="D48" s="1"/>
      <c r="E48" s="9"/>
      <c r="F48" s="10"/>
      <c r="G48" s="10" t="str">
        <f>IF(Marzo[[#This Row],[COTIZACION]]="", "", Marzo[[#This Row],[ARS]]/Marzo[[#This Row],[COTIZACION]])</f>
        <v/>
      </c>
      <c r="H48" s="10"/>
    </row>
    <row r="49" spans="2:8" ht="15.5" x14ac:dyDescent="0.35">
      <c r="B49" s="9"/>
      <c r="C49" s="9"/>
      <c r="D49" s="1"/>
      <c r="E49" s="9"/>
      <c r="F49" s="10"/>
      <c r="G49" s="10" t="str">
        <f>IF(Marzo[[#This Row],[COTIZACION]]="", "", Marzo[[#This Row],[ARS]]/Marzo[[#This Row],[COTIZACION]])</f>
        <v/>
      </c>
      <c r="H49" s="10"/>
    </row>
    <row r="50" spans="2:8" ht="15.5" x14ac:dyDescent="0.35">
      <c r="B50" s="9"/>
      <c r="C50" s="9"/>
      <c r="D50" s="1"/>
      <c r="E50" s="9"/>
      <c r="F50" s="10"/>
      <c r="G50" s="10" t="str">
        <f>IF(Marzo[[#This Row],[COTIZACION]]="", "", Marzo[[#This Row],[ARS]]/Marzo[[#This Row],[COTIZACION]])</f>
        <v/>
      </c>
      <c r="H50" s="10"/>
    </row>
    <row r="51" spans="2:8" ht="15.5" x14ac:dyDescent="0.35">
      <c r="B51" s="9"/>
      <c r="C51" s="9"/>
      <c r="D51" s="1"/>
      <c r="E51" s="9"/>
      <c r="F51" s="10"/>
      <c r="G51" s="10" t="str">
        <f>IF(Marzo[[#This Row],[COTIZACION]]="", "", Marzo[[#This Row],[ARS]]/Marzo[[#This Row],[COTIZACION]])</f>
        <v/>
      </c>
      <c r="H51" s="10"/>
    </row>
    <row r="52" spans="2:8" ht="15.5" x14ac:dyDescent="0.35">
      <c r="B52" s="9"/>
      <c r="C52" s="9"/>
      <c r="D52" s="1"/>
      <c r="E52" s="9"/>
      <c r="F52" s="10"/>
      <c r="G52" s="10" t="str">
        <f>IF(Marzo[[#This Row],[COTIZACION]]="", "", Marzo[[#This Row],[ARS]]/Marzo[[#This Row],[COTIZACION]])</f>
        <v/>
      </c>
      <c r="H52" s="10"/>
    </row>
    <row r="53" spans="2:8" ht="15.5" x14ac:dyDescent="0.35">
      <c r="B53" s="9"/>
      <c r="C53" s="9"/>
      <c r="D53" s="1"/>
      <c r="E53" s="9"/>
      <c r="F53" s="10"/>
      <c r="G53" s="10" t="str">
        <f>IF(Marzo[[#This Row],[COTIZACION]]="", "", Marzo[[#This Row],[ARS]]/Marzo[[#This Row],[COTIZACION]])</f>
        <v/>
      </c>
      <c r="H53" s="10"/>
    </row>
    <row r="54" spans="2:8" ht="15.5" x14ac:dyDescent="0.35">
      <c r="B54" s="9"/>
      <c r="C54" s="9"/>
      <c r="D54" s="1"/>
      <c r="E54" s="9"/>
      <c r="F54" s="10"/>
      <c r="G54" s="10" t="str">
        <f>IF(Marzo[[#This Row],[COTIZACION]]="", "", Marzo[[#This Row],[ARS]]/Marzo[[#This Row],[COTIZACION]])</f>
        <v/>
      </c>
      <c r="H54" s="10"/>
    </row>
    <row r="55" spans="2:8" ht="15.5" x14ac:dyDescent="0.35">
      <c r="B55" s="9"/>
      <c r="C55" s="9"/>
      <c r="D55" s="1"/>
      <c r="E55" s="9"/>
      <c r="F55" s="10"/>
      <c r="G55" s="10" t="str">
        <f>IF(Marzo[[#This Row],[COTIZACION]]="", "", Marzo[[#This Row],[ARS]]/Marzo[[#This Row],[COTIZACION]])</f>
        <v/>
      </c>
      <c r="H55" s="10"/>
    </row>
    <row r="56" spans="2:8" ht="15.5" x14ac:dyDescent="0.35">
      <c r="B56" s="9"/>
      <c r="C56" s="9"/>
      <c r="D56" s="1"/>
      <c r="E56" s="9"/>
      <c r="F56" s="10"/>
      <c r="G56" s="10" t="str">
        <f>IF(Marzo[[#This Row],[COTIZACION]]="", "", Marzo[[#This Row],[ARS]]/Marzo[[#This Row],[COTIZACION]])</f>
        <v/>
      </c>
      <c r="H56" s="10"/>
    </row>
    <row r="57" spans="2:8" ht="15.5" x14ac:dyDescent="0.35">
      <c r="B57" s="9"/>
      <c r="C57" s="9"/>
      <c r="D57" s="1"/>
      <c r="E57" s="9"/>
      <c r="F57" s="10"/>
      <c r="G57" s="10" t="str">
        <f>IF(Marzo[[#This Row],[COTIZACION]]="", "", Marzo[[#This Row],[ARS]]/Marzo[[#This Row],[COTIZACION]])</f>
        <v/>
      </c>
      <c r="H57" s="10"/>
    </row>
    <row r="58" spans="2:8" ht="15.5" x14ac:dyDescent="0.35">
      <c r="B58" s="9"/>
      <c r="C58" s="9"/>
      <c r="D58" s="1"/>
      <c r="E58" s="9"/>
      <c r="F58" s="10"/>
      <c r="G58" s="10" t="str">
        <f>IF(Marzo[[#This Row],[COTIZACION]]="", "", Marzo[[#This Row],[ARS]]/Marzo[[#This Row],[COTIZACION]])</f>
        <v/>
      </c>
      <c r="H58" s="10"/>
    </row>
    <row r="59" spans="2:8" ht="15.5" x14ac:dyDescent="0.35">
      <c r="B59" s="9"/>
      <c r="C59" s="9"/>
      <c r="D59" s="1"/>
      <c r="E59" s="9"/>
      <c r="F59" s="10"/>
      <c r="G59" s="10" t="str">
        <f>IF(Marzo[[#This Row],[COTIZACION]]="", "", Marzo[[#This Row],[ARS]]/Marzo[[#This Row],[COTIZACION]])</f>
        <v/>
      </c>
      <c r="H59" s="10"/>
    </row>
    <row r="60" spans="2:8" ht="15.5" x14ac:dyDescent="0.35">
      <c r="B60" s="9"/>
      <c r="C60" s="9"/>
      <c r="D60" s="1"/>
      <c r="E60" s="9"/>
      <c r="F60" s="10"/>
      <c r="G60" s="10" t="str">
        <f>IF(Marzo[[#This Row],[COTIZACION]]="", "", Marzo[[#This Row],[ARS]]/Marzo[[#This Row],[COTIZACION]])</f>
        <v/>
      </c>
      <c r="H60" s="10"/>
    </row>
    <row r="61" spans="2:8" ht="15.5" x14ac:dyDescent="0.35">
      <c r="B61" s="9"/>
      <c r="C61" s="9"/>
      <c r="D61" s="1"/>
      <c r="E61" s="9"/>
      <c r="F61" s="10"/>
      <c r="G61" s="10" t="str">
        <f>IF(Marzo[[#This Row],[COTIZACION]]="", "", Marzo[[#This Row],[ARS]]/Marzo[[#This Row],[COTIZACION]])</f>
        <v/>
      </c>
      <c r="H61" s="10"/>
    </row>
    <row r="62" spans="2:8" ht="15.5" x14ac:dyDescent="0.35">
      <c r="B62" s="9"/>
      <c r="C62" s="9"/>
      <c r="D62" s="1"/>
      <c r="E62" s="9"/>
      <c r="F62" s="10"/>
      <c r="G62" s="10" t="str">
        <f>IF(Marzo[[#This Row],[COTIZACION]]="", "", Marzo[[#This Row],[ARS]]/Marzo[[#This Row],[COTIZACION]])</f>
        <v/>
      </c>
      <c r="H62" s="10"/>
    </row>
    <row r="63" spans="2:8" ht="15.5" x14ac:dyDescent="0.35">
      <c r="B63" s="9"/>
      <c r="C63" s="9"/>
      <c r="D63" s="1"/>
      <c r="E63" s="9"/>
      <c r="F63" s="10"/>
      <c r="G63" s="10" t="str">
        <f>IF(Marzo[[#This Row],[COTIZACION]]="", "", Marzo[[#This Row],[ARS]]/Marzo[[#This Row],[COTIZACION]])</f>
        <v/>
      </c>
      <c r="H63" s="10"/>
    </row>
    <row r="64" spans="2:8" ht="15.5" x14ac:dyDescent="0.35">
      <c r="B64" s="9"/>
      <c r="C64" s="9"/>
      <c r="D64" s="1"/>
      <c r="E64" s="9"/>
      <c r="F64" s="10"/>
      <c r="G64" s="10" t="str">
        <f>IF(Marzo[[#This Row],[COTIZACION]]="", "", Marzo[[#This Row],[ARS]]/Marzo[[#This Row],[COTIZACION]])</f>
        <v/>
      </c>
      <c r="H64" s="10"/>
    </row>
    <row r="65" spans="2:8" ht="15.5" x14ac:dyDescent="0.35">
      <c r="B65" s="9"/>
      <c r="C65" s="9"/>
      <c r="D65" s="1"/>
      <c r="E65" s="9"/>
      <c r="F65" s="10"/>
      <c r="G65" s="10" t="str">
        <f>IF(Marzo[[#This Row],[COTIZACION]]="", "", Marzo[[#This Row],[ARS]]/Marzo[[#This Row],[COTIZACION]])</f>
        <v/>
      </c>
      <c r="H65" s="10"/>
    </row>
    <row r="66" spans="2:8" ht="15.5" x14ac:dyDescent="0.35">
      <c r="B66" s="9"/>
      <c r="C66" s="9"/>
      <c r="D66" s="1"/>
      <c r="E66" s="9"/>
      <c r="F66" s="10"/>
      <c r="G66" s="10" t="str">
        <f>IF(Marzo[[#This Row],[COTIZACION]]="", "", Marzo[[#This Row],[ARS]]/Marzo[[#This Row],[COTIZACION]])</f>
        <v/>
      </c>
      <c r="H66" s="10"/>
    </row>
    <row r="67" spans="2:8" ht="15.5" x14ac:dyDescent="0.35">
      <c r="B67" s="9"/>
      <c r="C67" s="9"/>
      <c r="D67" s="1"/>
      <c r="E67" s="9"/>
      <c r="F67" s="10"/>
      <c r="G67" s="10" t="str">
        <f>IF(Marzo[[#This Row],[COTIZACION]]="", "", Marzo[[#This Row],[ARS]]/Marzo[[#This Row],[COTIZACION]])</f>
        <v/>
      </c>
      <c r="H67" s="10"/>
    </row>
    <row r="68" spans="2:8" ht="15.5" x14ac:dyDescent="0.35">
      <c r="B68" s="9"/>
      <c r="C68" s="9"/>
      <c r="D68" s="1"/>
      <c r="E68" s="9"/>
      <c r="F68" s="10"/>
      <c r="G68" s="10" t="str">
        <f>IF(Marzo[[#This Row],[COTIZACION]]="", "", Marzo[[#This Row],[ARS]]/Marzo[[#This Row],[COTIZACION]])</f>
        <v/>
      </c>
      <c r="H68" s="10"/>
    </row>
    <row r="69" spans="2:8" ht="15.5" x14ac:dyDescent="0.35">
      <c r="B69" s="9"/>
      <c r="C69" s="9"/>
      <c r="D69" s="1"/>
      <c r="E69" s="9"/>
      <c r="F69" s="10"/>
      <c r="G69" s="10" t="str">
        <f>IF(Marzo[[#This Row],[COTIZACION]]="", "", Marzo[[#This Row],[ARS]]/Marzo[[#This Row],[COTIZACION]])</f>
        <v/>
      </c>
      <c r="H69" s="10"/>
    </row>
    <row r="70" spans="2:8" ht="15.5" x14ac:dyDescent="0.35">
      <c r="B70" s="9"/>
      <c r="C70" s="9"/>
      <c r="D70" s="1"/>
      <c r="E70" s="9"/>
      <c r="F70" s="10"/>
      <c r="G70" s="10" t="str">
        <f>IF(Marzo[[#This Row],[COTIZACION]]="", "", Marzo[[#This Row],[ARS]]/Marzo[[#This Row],[COTIZACION]])</f>
        <v/>
      </c>
      <c r="H70" s="10"/>
    </row>
    <row r="71" spans="2:8" ht="15.5" x14ac:dyDescent="0.35">
      <c r="B71" s="9"/>
      <c r="C71" s="9"/>
      <c r="D71" s="1"/>
      <c r="E71" s="9"/>
      <c r="F71" s="10"/>
      <c r="G71" s="10" t="str">
        <f>IF(Marzo[[#This Row],[COTIZACION]]="", "", Marzo[[#This Row],[ARS]]/Marzo[[#This Row],[COTIZACION]])</f>
        <v/>
      </c>
      <c r="H71" s="10"/>
    </row>
    <row r="72" spans="2:8" ht="15.5" x14ac:dyDescent="0.35">
      <c r="B72" s="9"/>
      <c r="C72" s="9"/>
      <c r="D72" s="1"/>
      <c r="E72" s="9"/>
      <c r="F72" s="10"/>
      <c r="G72" s="10" t="str">
        <f>IF(Marzo[[#This Row],[COTIZACION]]="", "", Marzo[[#This Row],[ARS]]/Marzo[[#This Row],[COTIZACION]])</f>
        <v/>
      </c>
      <c r="H72" s="10"/>
    </row>
    <row r="73" spans="2:8" ht="15.5" x14ac:dyDescent="0.35">
      <c r="B73" s="9"/>
      <c r="C73" s="9"/>
      <c r="D73" s="1"/>
      <c r="E73" s="9"/>
      <c r="F73" s="10"/>
      <c r="G73" s="10" t="str">
        <f>IF(Marzo[[#This Row],[COTIZACION]]="", "", Marzo[[#This Row],[ARS]]/Marzo[[#This Row],[COTIZACION]])</f>
        <v/>
      </c>
      <c r="H73" s="10"/>
    </row>
    <row r="74" spans="2:8" ht="15.5" x14ac:dyDescent="0.35">
      <c r="B74" s="9"/>
      <c r="C74" s="9"/>
      <c r="D74" s="1"/>
      <c r="E74" s="9"/>
      <c r="F74" s="10"/>
      <c r="G74" s="10" t="str">
        <f>IF(Marzo[[#This Row],[COTIZACION]]="", "", Marzo[[#This Row],[ARS]]/Marzo[[#This Row],[COTIZACION]])</f>
        <v/>
      </c>
      <c r="H74" s="10"/>
    </row>
    <row r="75" spans="2:8" ht="15.5" x14ac:dyDescent="0.35">
      <c r="B75" s="9"/>
      <c r="C75" s="9"/>
      <c r="D75" s="1"/>
      <c r="E75" s="9"/>
      <c r="F75" s="10"/>
      <c r="G75" s="10" t="str">
        <f>IF(Marzo[[#This Row],[COTIZACION]]="", "", Marzo[[#This Row],[ARS]]/Marzo[[#This Row],[COTIZACION]])</f>
        <v/>
      </c>
      <c r="H75" s="10"/>
    </row>
    <row r="76" spans="2:8" ht="15.5" x14ac:dyDescent="0.35">
      <c r="B76" s="9"/>
      <c r="C76" s="9"/>
      <c r="D76" s="1"/>
      <c r="E76" s="9"/>
      <c r="F76" s="10"/>
      <c r="G76" s="10" t="str">
        <f>IF(Marzo[[#This Row],[COTIZACION]]="", "", Marzo[[#This Row],[ARS]]/Marzo[[#This Row],[COTIZACION]])</f>
        <v/>
      </c>
      <c r="H76" s="10"/>
    </row>
    <row r="77" spans="2:8" ht="15.5" x14ac:dyDescent="0.35">
      <c r="B77" s="9"/>
      <c r="C77" s="9"/>
      <c r="D77" s="1"/>
      <c r="E77" s="9"/>
      <c r="F77" s="10"/>
      <c r="G77" s="10" t="str">
        <f>IF(Marzo[[#This Row],[COTIZACION]]="", "", Marzo[[#This Row],[ARS]]/Marzo[[#This Row],[COTIZACION]])</f>
        <v/>
      </c>
      <c r="H77" s="10"/>
    </row>
    <row r="78" spans="2:8" ht="15.5" x14ac:dyDescent="0.35">
      <c r="B78" s="9"/>
      <c r="C78" s="9"/>
      <c r="D78" s="1"/>
      <c r="E78" s="9"/>
      <c r="F78" s="10"/>
      <c r="G78" s="10" t="str">
        <f>IF(Marzo[[#This Row],[COTIZACION]]="", "", Marzo[[#This Row],[ARS]]/Marzo[[#This Row],[COTIZACION]])</f>
        <v/>
      </c>
      <c r="H78" s="10"/>
    </row>
    <row r="79" spans="2:8" ht="15.5" x14ac:dyDescent="0.35">
      <c r="B79" s="9"/>
      <c r="C79" s="9"/>
      <c r="D79" s="1"/>
      <c r="E79" s="9"/>
      <c r="F79" s="10"/>
      <c r="G79" s="10" t="str">
        <f>IF(Marzo[[#This Row],[COTIZACION]]="", "", Marzo[[#This Row],[ARS]]/Marzo[[#This Row],[COTIZACION]])</f>
        <v/>
      </c>
      <c r="H79" s="10"/>
    </row>
    <row r="80" spans="2:8" ht="15.5" x14ac:dyDescent="0.35">
      <c r="B80" s="9"/>
      <c r="C80" s="9"/>
      <c r="D80" s="1"/>
      <c r="E80" s="9"/>
      <c r="F80" s="10"/>
      <c r="G80" s="10" t="str">
        <f>IF(Marzo[[#This Row],[COTIZACION]]="", "", Marzo[[#This Row],[ARS]]/Marzo[[#This Row],[COTIZACION]])</f>
        <v/>
      </c>
      <c r="H80" s="10"/>
    </row>
    <row r="81" spans="2:8" ht="15.5" x14ac:dyDescent="0.35">
      <c r="B81" s="9"/>
      <c r="C81" s="9"/>
      <c r="D81" s="1"/>
      <c r="E81" s="9"/>
      <c r="F81" s="10"/>
      <c r="G81" s="10" t="str">
        <f>IF(Marzo[[#This Row],[COTIZACION]]="", "", Marzo[[#This Row],[ARS]]/Marzo[[#This Row],[COTIZACION]])</f>
        <v/>
      </c>
      <c r="H81" s="10"/>
    </row>
    <row r="82" spans="2:8" ht="15.5" x14ac:dyDescent="0.35">
      <c r="B82" s="9"/>
      <c r="C82" s="9"/>
      <c r="D82" s="1"/>
      <c r="E82" s="9"/>
      <c r="F82" s="10"/>
      <c r="G82" s="10" t="str">
        <f>IF(Marzo[[#This Row],[COTIZACION]]="", "", Marzo[[#This Row],[ARS]]/Marzo[[#This Row],[COTIZACION]])</f>
        <v/>
      </c>
      <c r="H82" s="10"/>
    </row>
    <row r="83" spans="2:8" ht="15.5" x14ac:dyDescent="0.35">
      <c r="B83" s="9"/>
      <c r="C83" s="9"/>
      <c r="D83" s="1"/>
      <c r="E83" s="9"/>
      <c r="F83" s="10"/>
      <c r="G83" s="10" t="str">
        <f>IF(Marzo[[#This Row],[COTIZACION]]="", "", Marzo[[#This Row],[ARS]]/Marzo[[#This Row],[COTIZACION]])</f>
        <v/>
      </c>
      <c r="H83" s="10"/>
    </row>
    <row r="84" spans="2:8" ht="15.5" x14ac:dyDescent="0.35">
      <c r="B84" s="9"/>
      <c r="C84" s="9"/>
      <c r="D84" s="1"/>
      <c r="E84" s="9"/>
      <c r="F84" s="10"/>
      <c r="G84" s="10" t="str">
        <f>IF(Marzo[[#This Row],[COTIZACION]]="", "", Marzo[[#This Row],[ARS]]/Marzo[[#This Row],[COTIZACION]])</f>
        <v/>
      </c>
      <c r="H84" s="10"/>
    </row>
    <row r="85" spans="2:8" ht="15.5" x14ac:dyDescent="0.35">
      <c r="B85" s="9"/>
      <c r="C85" s="9"/>
      <c r="D85" s="1"/>
      <c r="E85" s="9"/>
      <c r="F85" s="10"/>
      <c r="G85" s="10" t="str">
        <f>IF(Marzo[[#This Row],[COTIZACION]]="", "", Marzo[[#This Row],[ARS]]/Marzo[[#This Row],[COTIZACION]])</f>
        <v/>
      </c>
      <c r="H85" s="10"/>
    </row>
    <row r="86" spans="2:8" ht="15.5" x14ac:dyDescent="0.35">
      <c r="B86" s="9"/>
      <c r="C86" s="9"/>
      <c r="D86" s="1"/>
      <c r="E86" s="9"/>
      <c r="F86" s="10"/>
      <c r="G86" s="10" t="str">
        <f>IF(Marzo[[#This Row],[COTIZACION]]="", "", Marzo[[#This Row],[ARS]]/Marzo[[#This Row],[COTIZACION]])</f>
        <v/>
      </c>
      <c r="H86" s="10"/>
    </row>
    <row r="87" spans="2:8" ht="15.5" x14ac:dyDescent="0.35">
      <c r="B87" s="9"/>
      <c r="C87" s="9"/>
      <c r="D87" s="1"/>
      <c r="E87" s="9"/>
      <c r="F87" s="10"/>
      <c r="G87" s="10" t="str">
        <f>IF(Marzo[[#This Row],[COTIZACION]]="", "", Marzo[[#This Row],[ARS]]/Marzo[[#This Row],[COTIZACION]])</f>
        <v/>
      </c>
      <c r="H87" s="10"/>
    </row>
    <row r="88" spans="2:8" ht="15.5" x14ac:dyDescent="0.35">
      <c r="B88" s="9"/>
      <c r="C88" s="9"/>
      <c r="D88" s="1"/>
      <c r="E88" s="9"/>
      <c r="F88" s="10"/>
      <c r="G88" s="10" t="str">
        <f>IF(Marzo[[#This Row],[COTIZACION]]="", "", Marzo[[#This Row],[ARS]]/Marzo[[#This Row],[COTIZACION]])</f>
        <v/>
      </c>
      <c r="H88" s="10"/>
    </row>
    <row r="89" spans="2:8" ht="15.5" x14ac:dyDescent="0.35">
      <c r="B89" s="9"/>
      <c r="C89" s="9"/>
      <c r="D89" s="1"/>
      <c r="E89" s="9"/>
      <c r="F89" s="10"/>
      <c r="G89" s="10" t="str">
        <f>IF(Marzo[[#This Row],[COTIZACION]]="", "", Marzo[[#This Row],[ARS]]/Marzo[[#This Row],[COTIZACION]])</f>
        <v/>
      </c>
      <c r="H89" s="10"/>
    </row>
    <row r="90" spans="2:8" ht="15.5" x14ac:dyDescent="0.35">
      <c r="B90" s="9"/>
      <c r="C90" s="9"/>
      <c r="D90" s="1"/>
      <c r="E90" s="9"/>
      <c r="F90" s="10"/>
      <c r="G90" s="10" t="str">
        <f>IF(Marzo[[#This Row],[COTIZACION]]="", "", Marzo[[#This Row],[ARS]]/Marzo[[#This Row],[COTIZACION]])</f>
        <v/>
      </c>
      <c r="H90" s="10"/>
    </row>
    <row r="91" spans="2:8" ht="15.5" x14ac:dyDescent="0.35">
      <c r="B91" s="9"/>
      <c r="C91" s="9"/>
      <c r="D91" s="1"/>
      <c r="E91" s="9"/>
      <c r="F91" s="10"/>
      <c r="G91" s="10" t="str">
        <f>IF(Marzo[[#This Row],[COTIZACION]]="", "", Marzo[[#This Row],[ARS]]/Marzo[[#This Row],[COTIZACION]])</f>
        <v/>
      </c>
      <c r="H91" s="10"/>
    </row>
    <row r="92" spans="2:8" ht="15.5" x14ac:dyDescent="0.35">
      <c r="B92" s="9"/>
      <c r="C92" s="9"/>
      <c r="D92" s="1"/>
      <c r="E92" s="9"/>
      <c r="F92" s="10"/>
      <c r="G92" s="10" t="str">
        <f>IF(Marzo[[#This Row],[COTIZACION]]="", "", Marzo[[#This Row],[ARS]]/Marzo[[#This Row],[COTIZACION]])</f>
        <v/>
      </c>
      <c r="H92" s="10"/>
    </row>
    <row r="93" spans="2:8" ht="15.5" x14ac:dyDescent="0.35">
      <c r="B93" s="9"/>
      <c r="C93" s="9"/>
      <c r="D93" s="1"/>
      <c r="E93" s="9"/>
      <c r="F93" s="10"/>
      <c r="G93" s="10" t="str">
        <f>IF(Marzo[[#This Row],[COTIZACION]]="", "", Marzo[[#This Row],[ARS]]/Marzo[[#This Row],[COTIZACION]])</f>
        <v/>
      </c>
      <c r="H93" s="10"/>
    </row>
    <row r="94" spans="2:8" ht="15.5" x14ac:dyDescent="0.35">
      <c r="B94" s="9"/>
      <c r="C94" s="9"/>
      <c r="D94" s="1"/>
      <c r="E94" s="9"/>
      <c r="F94" s="10"/>
      <c r="G94" s="10" t="str">
        <f>IF(Marzo[[#This Row],[COTIZACION]]="", "", Marzo[[#This Row],[ARS]]/Marzo[[#This Row],[COTIZACION]])</f>
        <v/>
      </c>
      <c r="H94" s="10"/>
    </row>
    <row r="95" spans="2:8" ht="15.5" x14ac:dyDescent="0.35">
      <c r="B95" s="9"/>
      <c r="C95" s="9"/>
      <c r="D95" s="1"/>
      <c r="E95" s="9"/>
      <c r="F95" s="10"/>
      <c r="G95" s="10" t="str">
        <f>IF(Marzo[[#This Row],[COTIZACION]]="", "", Marzo[[#This Row],[ARS]]/Marzo[[#This Row],[COTIZACION]])</f>
        <v/>
      </c>
      <c r="H95" s="10"/>
    </row>
    <row r="96" spans="2:8" ht="15.5" x14ac:dyDescent="0.35">
      <c r="B96" s="35"/>
      <c r="C96" s="35"/>
      <c r="D96" s="36"/>
      <c r="E96" s="35"/>
      <c r="F96" s="37"/>
      <c r="G96" s="37" t="str">
        <f>IF(Marzo[[#This Row],[COTIZACION]]="", "", Marzo[[#This Row],[ARS]]/Marzo[[#This Row],[COTIZACION]])</f>
        <v/>
      </c>
      <c r="H96" s="37"/>
    </row>
    <row r="97" spans="6:11" x14ac:dyDescent="0.35">
      <c r="F97"/>
      <c r="G97"/>
      <c r="H97"/>
      <c r="K97"/>
    </row>
    <row r="98" spans="6:11" x14ac:dyDescent="0.35">
      <c r="F98"/>
      <c r="G98"/>
      <c r="H98"/>
      <c r="K98"/>
    </row>
    <row r="99" spans="6:11" x14ac:dyDescent="0.35">
      <c r="F99"/>
      <c r="G99"/>
      <c r="H99"/>
      <c r="K99"/>
    </row>
    <row r="100" spans="6:11" x14ac:dyDescent="0.35">
      <c r="F100"/>
      <c r="G100"/>
      <c r="H100"/>
      <c r="K100"/>
    </row>
    <row r="101" spans="6:11" x14ac:dyDescent="0.35">
      <c r="F101"/>
      <c r="G101"/>
      <c r="H101"/>
      <c r="K101"/>
    </row>
    <row r="102" spans="6:11" x14ac:dyDescent="0.35">
      <c r="F102"/>
      <c r="G102"/>
      <c r="H102"/>
      <c r="K102"/>
    </row>
    <row r="103" spans="6:11" x14ac:dyDescent="0.35">
      <c r="F103"/>
      <c r="G103"/>
      <c r="H103"/>
      <c r="K103"/>
    </row>
    <row r="104" spans="6:11" x14ac:dyDescent="0.35">
      <c r="F104"/>
      <c r="G104"/>
      <c r="H104"/>
      <c r="K104"/>
    </row>
    <row r="105" spans="6:11" x14ac:dyDescent="0.35">
      <c r="F105"/>
      <c r="G105"/>
      <c r="H105"/>
      <c r="K105"/>
    </row>
    <row r="106" spans="6:11" x14ac:dyDescent="0.35">
      <c r="F106"/>
      <c r="G106"/>
      <c r="H106"/>
      <c r="K106"/>
    </row>
    <row r="107" spans="6:11" x14ac:dyDescent="0.35">
      <c r="F107"/>
      <c r="G107"/>
      <c r="H107"/>
      <c r="K107"/>
    </row>
    <row r="108" spans="6:11" x14ac:dyDescent="0.35">
      <c r="F108"/>
      <c r="G108"/>
      <c r="H108"/>
      <c r="K108"/>
    </row>
    <row r="109" spans="6:11" x14ac:dyDescent="0.35">
      <c r="F109"/>
      <c r="G109"/>
      <c r="H109"/>
      <c r="K109"/>
    </row>
    <row r="110" spans="6:11" x14ac:dyDescent="0.35">
      <c r="F110"/>
      <c r="G110"/>
      <c r="H110"/>
      <c r="K110"/>
    </row>
    <row r="111" spans="6:11" x14ac:dyDescent="0.35">
      <c r="F111"/>
      <c r="G111"/>
      <c r="H111"/>
      <c r="K111"/>
    </row>
    <row r="112" spans="6:11" x14ac:dyDescent="0.35">
      <c r="F112"/>
      <c r="G112"/>
      <c r="H112"/>
      <c r="K112"/>
    </row>
    <row r="113" spans="6:11" x14ac:dyDescent="0.35">
      <c r="F113"/>
      <c r="G113"/>
      <c r="H113"/>
      <c r="K113"/>
    </row>
    <row r="114" spans="6:11" x14ac:dyDescent="0.35">
      <c r="F114"/>
      <c r="G114"/>
      <c r="H114"/>
      <c r="K114"/>
    </row>
    <row r="115" spans="6:11" x14ac:dyDescent="0.35">
      <c r="F115"/>
      <c r="G115"/>
      <c r="H115"/>
      <c r="K115"/>
    </row>
    <row r="116" spans="6:11" x14ac:dyDescent="0.35">
      <c r="F116"/>
      <c r="G116"/>
      <c r="H116"/>
      <c r="K116"/>
    </row>
    <row r="117" spans="6:11" x14ac:dyDescent="0.35">
      <c r="F117"/>
      <c r="G117"/>
      <c r="H117"/>
      <c r="K117"/>
    </row>
    <row r="118" spans="6:11" x14ac:dyDescent="0.35">
      <c r="F118"/>
      <c r="G118"/>
      <c r="H118"/>
      <c r="K118"/>
    </row>
    <row r="119" spans="6:11" x14ac:dyDescent="0.35">
      <c r="F119"/>
      <c r="G119"/>
      <c r="H119"/>
      <c r="K119"/>
    </row>
    <row r="120" spans="6:11" x14ac:dyDescent="0.35">
      <c r="F120"/>
      <c r="G120"/>
      <c r="H120"/>
      <c r="K120"/>
    </row>
    <row r="121" spans="6:11" x14ac:dyDescent="0.35">
      <c r="F121"/>
      <c r="G121"/>
      <c r="H121"/>
      <c r="K121"/>
    </row>
    <row r="122" spans="6:11" x14ac:dyDescent="0.35">
      <c r="F122"/>
      <c r="G122"/>
      <c r="H122"/>
      <c r="K122"/>
    </row>
    <row r="123" spans="6:11" x14ac:dyDescent="0.35">
      <c r="F123"/>
      <c r="G123"/>
      <c r="H123"/>
      <c r="K123"/>
    </row>
    <row r="124" spans="6:11" x14ac:dyDescent="0.35">
      <c r="F124"/>
      <c r="G124"/>
      <c r="H124"/>
      <c r="K124"/>
    </row>
    <row r="125" spans="6:11" x14ac:dyDescent="0.35">
      <c r="F125"/>
      <c r="G125"/>
      <c r="H125"/>
      <c r="K125"/>
    </row>
    <row r="126" spans="6:11" x14ac:dyDescent="0.35">
      <c r="F126"/>
      <c r="G126"/>
      <c r="H126"/>
      <c r="K126"/>
    </row>
    <row r="127" spans="6:11" x14ac:dyDescent="0.35">
      <c r="F127"/>
      <c r="G127"/>
      <c r="H127"/>
      <c r="K127"/>
    </row>
    <row r="128" spans="6:11" x14ac:dyDescent="0.35">
      <c r="F128"/>
      <c r="G128"/>
      <c r="H128"/>
      <c r="K128"/>
    </row>
    <row r="129" spans="6:11" x14ac:dyDescent="0.35">
      <c r="F129"/>
      <c r="G129"/>
      <c r="H129"/>
      <c r="K129"/>
    </row>
    <row r="130" spans="6:11" x14ac:dyDescent="0.35">
      <c r="F130"/>
      <c r="G130"/>
      <c r="H130"/>
      <c r="K130"/>
    </row>
    <row r="131" spans="6:11" x14ac:dyDescent="0.35">
      <c r="F131"/>
      <c r="G131"/>
      <c r="H131"/>
      <c r="K131"/>
    </row>
    <row r="132" spans="6:11" x14ac:dyDescent="0.35">
      <c r="F132"/>
      <c r="G132"/>
      <c r="H132"/>
      <c r="K132"/>
    </row>
    <row r="133" spans="6:11" x14ac:dyDescent="0.35">
      <c r="F133"/>
      <c r="G133"/>
      <c r="H133"/>
      <c r="K133"/>
    </row>
    <row r="134" spans="6:11" x14ac:dyDescent="0.35">
      <c r="F134"/>
      <c r="G134"/>
      <c r="H134"/>
      <c r="K134"/>
    </row>
    <row r="135" spans="6:11" x14ac:dyDescent="0.35">
      <c r="F135"/>
      <c r="G135"/>
      <c r="H135"/>
      <c r="K135"/>
    </row>
    <row r="136" spans="6:11" x14ac:dyDescent="0.35">
      <c r="F136"/>
      <c r="G136"/>
      <c r="H136"/>
      <c r="K136"/>
    </row>
    <row r="137" spans="6:11" x14ac:dyDescent="0.35">
      <c r="F137"/>
      <c r="G137"/>
      <c r="H137"/>
      <c r="K137"/>
    </row>
    <row r="138" spans="6:11" x14ac:dyDescent="0.35">
      <c r="F138"/>
      <c r="G138"/>
      <c r="H138"/>
      <c r="K138"/>
    </row>
    <row r="139" spans="6:11" x14ac:dyDescent="0.35">
      <c r="F139"/>
      <c r="G139"/>
      <c r="H139"/>
      <c r="K139"/>
    </row>
    <row r="140" spans="6:11" x14ac:dyDescent="0.35">
      <c r="F140"/>
      <c r="G140"/>
      <c r="H140"/>
      <c r="K140"/>
    </row>
    <row r="141" spans="6:11" x14ac:dyDescent="0.35">
      <c r="F141"/>
      <c r="G141"/>
      <c r="H141"/>
      <c r="K141"/>
    </row>
    <row r="142" spans="6:11" x14ac:dyDescent="0.35">
      <c r="F142"/>
      <c r="G142"/>
      <c r="H142"/>
      <c r="K142"/>
    </row>
    <row r="143" spans="6:11" x14ac:dyDescent="0.35">
      <c r="F143"/>
      <c r="G143"/>
      <c r="H143"/>
      <c r="K143"/>
    </row>
    <row r="144" spans="6:11" x14ac:dyDescent="0.35">
      <c r="F144"/>
      <c r="G144"/>
      <c r="H144"/>
      <c r="K144"/>
    </row>
    <row r="145" spans="6:11" x14ac:dyDescent="0.35">
      <c r="F145"/>
      <c r="G145"/>
      <c r="H145"/>
      <c r="K145"/>
    </row>
    <row r="146" spans="6:11" x14ac:dyDescent="0.35">
      <c r="F146"/>
      <c r="G146"/>
      <c r="H146"/>
      <c r="K146"/>
    </row>
    <row r="147" spans="6:11" x14ac:dyDescent="0.35">
      <c r="F147"/>
      <c r="G147"/>
      <c r="H147"/>
      <c r="K147"/>
    </row>
    <row r="148" spans="6:11" x14ac:dyDescent="0.35">
      <c r="F148"/>
      <c r="G148"/>
      <c r="H148"/>
      <c r="K148"/>
    </row>
    <row r="149" spans="6:11" x14ac:dyDescent="0.35">
      <c r="F149"/>
      <c r="G149"/>
      <c r="H149"/>
      <c r="K149"/>
    </row>
    <row r="150" spans="6:11" x14ac:dyDescent="0.35">
      <c r="F150"/>
      <c r="G150"/>
      <c r="H150"/>
      <c r="K150"/>
    </row>
    <row r="151" spans="6:11" x14ac:dyDescent="0.35">
      <c r="F151"/>
      <c r="G151"/>
      <c r="H151"/>
      <c r="K151"/>
    </row>
    <row r="152" spans="6:11" x14ac:dyDescent="0.35">
      <c r="F152"/>
      <c r="G152"/>
      <c r="H152"/>
      <c r="K152"/>
    </row>
    <row r="153" spans="6:11" x14ac:dyDescent="0.35">
      <c r="F153"/>
      <c r="G153"/>
      <c r="H153"/>
      <c r="K153"/>
    </row>
    <row r="154" spans="6:11" x14ac:dyDescent="0.35">
      <c r="F154"/>
      <c r="G154"/>
      <c r="H154"/>
      <c r="K154"/>
    </row>
    <row r="155" spans="6:11" x14ac:dyDescent="0.35">
      <c r="F155"/>
      <c r="G155"/>
      <c r="H155"/>
      <c r="K155"/>
    </row>
    <row r="156" spans="6:11" x14ac:dyDescent="0.35">
      <c r="F156"/>
      <c r="G156"/>
      <c r="H156"/>
      <c r="K156"/>
    </row>
    <row r="157" spans="6:11" x14ac:dyDescent="0.35">
      <c r="F157"/>
      <c r="G157"/>
      <c r="H157"/>
      <c r="K157"/>
    </row>
    <row r="158" spans="6:11" x14ac:dyDescent="0.35">
      <c r="F158"/>
      <c r="G158"/>
      <c r="H158"/>
      <c r="K158"/>
    </row>
    <row r="159" spans="6:11" x14ac:dyDescent="0.35">
      <c r="F159"/>
      <c r="G159"/>
      <c r="H159"/>
      <c r="K159"/>
    </row>
    <row r="160" spans="6:11" x14ac:dyDescent="0.35">
      <c r="F160"/>
      <c r="G160"/>
      <c r="H160"/>
      <c r="K160"/>
    </row>
    <row r="161" spans="6:11" x14ac:dyDescent="0.35">
      <c r="F161"/>
      <c r="G161"/>
      <c r="H161"/>
      <c r="K161"/>
    </row>
    <row r="162" spans="6:11" x14ac:dyDescent="0.35">
      <c r="F162"/>
      <c r="G162"/>
      <c r="H162"/>
      <c r="K162"/>
    </row>
    <row r="163" spans="6:11" x14ac:dyDescent="0.35">
      <c r="F163"/>
      <c r="G163"/>
      <c r="H163"/>
      <c r="K163"/>
    </row>
    <row r="164" spans="6:11" x14ac:dyDescent="0.35">
      <c r="F164"/>
      <c r="G164"/>
      <c r="H164"/>
      <c r="K164"/>
    </row>
    <row r="165" spans="6:11" x14ac:dyDescent="0.35">
      <c r="F165"/>
      <c r="G165"/>
      <c r="H165"/>
      <c r="K165"/>
    </row>
    <row r="166" spans="6:11" x14ac:dyDescent="0.35">
      <c r="F166"/>
      <c r="G166"/>
      <c r="H166"/>
      <c r="K166"/>
    </row>
    <row r="167" spans="6:11" x14ac:dyDescent="0.35">
      <c r="F167"/>
      <c r="G167"/>
      <c r="H167"/>
      <c r="K167"/>
    </row>
    <row r="168" spans="6:11" x14ac:dyDescent="0.35">
      <c r="F168"/>
      <c r="G168"/>
      <c r="H168"/>
      <c r="K168"/>
    </row>
    <row r="169" spans="6:11" x14ac:dyDescent="0.35">
      <c r="F169"/>
      <c r="G169"/>
      <c r="H169"/>
      <c r="K169"/>
    </row>
    <row r="170" spans="6:11" x14ac:dyDescent="0.35">
      <c r="F170"/>
      <c r="G170"/>
      <c r="H170"/>
      <c r="K170"/>
    </row>
    <row r="171" spans="6:11" x14ac:dyDescent="0.35">
      <c r="F171"/>
      <c r="G171"/>
      <c r="H171"/>
      <c r="K171"/>
    </row>
    <row r="172" spans="6:11" x14ac:dyDescent="0.35">
      <c r="F172"/>
      <c r="G172"/>
      <c r="H172"/>
      <c r="K172"/>
    </row>
    <row r="173" spans="6:11" x14ac:dyDescent="0.35">
      <c r="F173"/>
      <c r="G173"/>
      <c r="H173"/>
      <c r="K173"/>
    </row>
    <row r="174" spans="6:11" x14ac:dyDescent="0.35">
      <c r="F174"/>
      <c r="G174"/>
      <c r="H174"/>
      <c r="K174"/>
    </row>
    <row r="175" spans="6:11" x14ac:dyDescent="0.35">
      <c r="F175"/>
      <c r="G175"/>
      <c r="H175"/>
      <c r="K175"/>
    </row>
    <row r="176" spans="6:11" x14ac:dyDescent="0.35">
      <c r="F176"/>
      <c r="G176"/>
      <c r="H176"/>
      <c r="K176"/>
    </row>
    <row r="177" spans="6:11" x14ac:dyDescent="0.35">
      <c r="F177"/>
      <c r="G177"/>
      <c r="H177"/>
      <c r="K177"/>
    </row>
    <row r="178" spans="6:11" x14ac:dyDescent="0.35">
      <c r="F178"/>
      <c r="G178"/>
      <c r="H178"/>
      <c r="K178"/>
    </row>
    <row r="179" spans="6:11" x14ac:dyDescent="0.35">
      <c r="F179"/>
      <c r="G179"/>
      <c r="H179"/>
      <c r="K179"/>
    </row>
    <row r="180" spans="6:11" x14ac:dyDescent="0.35">
      <c r="F180"/>
      <c r="G180"/>
      <c r="H180"/>
      <c r="K180"/>
    </row>
    <row r="181" spans="6:11" x14ac:dyDescent="0.35">
      <c r="F181"/>
      <c r="G181"/>
      <c r="H181"/>
      <c r="K181"/>
    </row>
    <row r="182" spans="6:11" x14ac:dyDescent="0.35">
      <c r="F182"/>
      <c r="G182"/>
      <c r="H182"/>
      <c r="K182"/>
    </row>
    <row r="183" spans="6:11" x14ac:dyDescent="0.35">
      <c r="F183"/>
      <c r="G183"/>
      <c r="H183"/>
      <c r="K183"/>
    </row>
    <row r="184" spans="6:11" x14ac:dyDescent="0.35">
      <c r="F184"/>
      <c r="G184"/>
      <c r="H184"/>
      <c r="K184"/>
    </row>
    <row r="185" spans="6:11" x14ac:dyDescent="0.35">
      <c r="F185"/>
      <c r="G185"/>
      <c r="H185"/>
      <c r="K185"/>
    </row>
    <row r="186" spans="6:11" x14ac:dyDescent="0.35">
      <c r="F186"/>
      <c r="G186"/>
      <c r="H186"/>
      <c r="K186"/>
    </row>
    <row r="187" spans="6:11" x14ac:dyDescent="0.35">
      <c r="F187"/>
      <c r="G187"/>
      <c r="H187"/>
      <c r="K187"/>
    </row>
    <row r="188" spans="6:11" x14ac:dyDescent="0.35">
      <c r="F188"/>
      <c r="G188"/>
      <c r="H188"/>
      <c r="K188"/>
    </row>
    <row r="189" spans="6:11" x14ac:dyDescent="0.35">
      <c r="F189"/>
      <c r="G189"/>
      <c r="H189"/>
      <c r="K189"/>
    </row>
    <row r="190" spans="6:11" x14ac:dyDescent="0.35">
      <c r="F190"/>
      <c r="G190"/>
      <c r="H190"/>
      <c r="K190"/>
    </row>
    <row r="191" spans="6:11" x14ac:dyDescent="0.35">
      <c r="F191"/>
      <c r="G191"/>
      <c r="H191"/>
      <c r="K191"/>
    </row>
    <row r="192" spans="6:11" x14ac:dyDescent="0.35">
      <c r="F192"/>
      <c r="G192"/>
      <c r="H192"/>
      <c r="K192"/>
    </row>
    <row r="193" spans="6:11" x14ac:dyDescent="0.35">
      <c r="F193"/>
      <c r="G193"/>
      <c r="H193"/>
      <c r="K193"/>
    </row>
    <row r="194" spans="6:11" x14ac:dyDescent="0.35">
      <c r="F194"/>
      <c r="G194"/>
      <c r="H194"/>
      <c r="K194"/>
    </row>
    <row r="195" spans="6:11" x14ac:dyDescent="0.35">
      <c r="F195"/>
      <c r="G195"/>
      <c r="H195"/>
      <c r="K195"/>
    </row>
    <row r="196" spans="6:11" x14ac:dyDescent="0.35">
      <c r="F196"/>
      <c r="G196"/>
      <c r="H196"/>
      <c r="K196"/>
    </row>
    <row r="197" spans="6:11" x14ac:dyDescent="0.35">
      <c r="F197"/>
      <c r="G197"/>
      <c r="H197"/>
      <c r="K197"/>
    </row>
    <row r="198" spans="6:11" x14ac:dyDescent="0.35">
      <c r="F198"/>
      <c r="G198"/>
      <c r="H198"/>
      <c r="K198"/>
    </row>
    <row r="199" spans="6:11" x14ac:dyDescent="0.35">
      <c r="F199"/>
      <c r="G199"/>
      <c r="H199"/>
      <c r="K199"/>
    </row>
    <row r="200" spans="6:11" x14ac:dyDescent="0.35">
      <c r="F200"/>
      <c r="G200"/>
      <c r="H200"/>
      <c r="K200"/>
    </row>
    <row r="201" spans="6:11" x14ac:dyDescent="0.35">
      <c r="F201"/>
      <c r="G201"/>
      <c r="H201"/>
      <c r="K201"/>
    </row>
    <row r="202" spans="6:11" x14ac:dyDescent="0.35">
      <c r="F202"/>
      <c r="G202"/>
      <c r="H202"/>
      <c r="K202"/>
    </row>
    <row r="203" spans="6:11" x14ac:dyDescent="0.35">
      <c r="F203"/>
      <c r="G203"/>
      <c r="H203"/>
      <c r="K203"/>
    </row>
    <row r="204" spans="6:11" x14ac:dyDescent="0.35">
      <c r="F204"/>
      <c r="G204"/>
      <c r="H204"/>
      <c r="K204"/>
    </row>
    <row r="205" spans="6:11" x14ac:dyDescent="0.35">
      <c r="F205"/>
      <c r="G205"/>
      <c r="H205"/>
      <c r="K205"/>
    </row>
    <row r="206" spans="6:11" x14ac:dyDescent="0.35">
      <c r="F206"/>
      <c r="G206"/>
      <c r="H206"/>
      <c r="K206"/>
    </row>
    <row r="207" spans="6:11" x14ac:dyDescent="0.35">
      <c r="F207"/>
      <c r="G207"/>
      <c r="H207"/>
      <c r="K207"/>
    </row>
    <row r="208" spans="6:11" x14ac:dyDescent="0.35">
      <c r="F208"/>
      <c r="G208"/>
      <c r="H208"/>
      <c r="K208"/>
    </row>
    <row r="209" spans="6:11" x14ac:dyDescent="0.35">
      <c r="F209"/>
      <c r="G209"/>
      <c r="H209"/>
      <c r="K209"/>
    </row>
    <row r="210" spans="6:11" x14ac:dyDescent="0.35">
      <c r="F210"/>
      <c r="G210"/>
      <c r="H210"/>
      <c r="K210"/>
    </row>
    <row r="211" spans="6:11" x14ac:dyDescent="0.35">
      <c r="F211"/>
      <c r="G211"/>
      <c r="H211"/>
      <c r="K211"/>
    </row>
    <row r="212" spans="6:11" x14ac:dyDescent="0.35">
      <c r="F212"/>
      <c r="G212"/>
      <c r="H212"/>
      <c r="K212"/>
    </row>
    <row r="213" spans="6:11" x14ac:dyDescent="0.35">
      <c r="F213"/>
      <c r="G213"/>
      <c r="H213"/>
      <c r="K213"/>
    </row>
    <row r="214" spans="6:11" x14ac:dyDescent="0.35">
      <c r="F214"/>
      <c r="G214"/>
      <c r="H214"/>
      <c r="K214"/>
    </row>
    <row r="215" spans="6:11" x14ac:dyDescent="0.35">
      <c r="F215"/>
      <c r="G215"/>
      <c r="H215"/>
      <c r="K215"/>
    </row>
    <row r="216" spans="6:11" x14ac:dyDescent="0.35">
      <c r="F216"/>
      <c r="G216"/>
      <c r="H216"/>
      <c r="K216"/>
    </row>
    <row r="217" spans="6:11" x14ac:dyDescent="0.35">
      <c r="F217"/>
      <c r="G217"/>
      <c r="H217"/>
      <c r="K217"/>
    </row>
    <row r="218" spans="6:11" x14ac:dyDescent="0.35">
      <c r="F218"/>
      <c r="G218"/>
      <c r="H218"/>
      <c r="K218"/>
    </row>
    <row r="219" spans="6:11" x14ac:dyDescent="0.35">
      <c r="F219"/>
      <c r="G219"/>
      <c r="H219"/>
      <c r="K219"/>
    </row>
    <row r="220" spans="6:11" x14ac:dyDescent="0.35">
      <c r="F220"/>
      <c r="G220"/>
      <c r="H220"/>
      <c r="K220"/>
    </row>
    <row r="221" spans="6:11" x14ac:dyDescent="0.35">
      <c r="F221"/>
      <c r="G221"/>
      <c r="H221"/>
      <c r="K221"/>
    </row>
    <row r="222" spans="6:11" x14ac:dyDescent="0.35">
      <c r="F222"/>
      <c r="G222"/>
      <c r="H222"/>
      <c r="K222"/>
    </row>
    <row r="223" spans="6:11" x14ac:dyDescent="0.35">
      <c r="F223"/>
      <c r="G223"/>
      <c r="H223"/>
      <c r="K223"/>
    </row>
    <row r="224" spans="6:11" x14ac:dyDescent="0.35">
      <c r="F224"/>
      <c r="G224"/>
      <c r="H224"/>
      <c r="K224"/>
    </row>
    <row r="225" spans="6:11" x14ac:dyDescent="0.35">
      <c r="F225"/>
      <c r="G225"/>
      <c r="H225"/>
      <c r="K225"/>
    </row>
    <row r="226" spans="6:11" x14ac:dyDescent="0.35">
      <c r="F226"/>
      <c r="G226"/>
      <c r="H226"/>
      <c r="K226"/>
    </row>
    <row r="227" spans="6:11" x14ac:dyDescent="0.35">
      <c r="F227"/>
      <c r="G227"/>
      <c r="H227"/>
      <c r="K227"/>
    </row>
    <row r="228" spans="6:11" x14ac:dyDescent="0.35">
      <c r="F228"/>
      <c r="G228"/>
      <c r="H228"/>
      <c r="K228"/>
    </row>
    <row r="229" spans="6:11" x14ac:dyDescent="0.35">
      <c r="F229"/>
      <c r="G229"/>
      <c r="H229"/>
      <c r="K229"/>
    </row>
    <row r="230" spans="6:11" x14ac:dyDescent="0.35">
      <c r="F230"/>
      <c r="G230"/>
      <c r="H230"/>
      <c r="K230"/>
    </row>
    <row r="231" spans="6:11" x14ac:dyDescent="0.35">
      <c r="F231"/>
      <c r="G231"/>
      <c r="H231"/>
      <c r="K231"/>
    </row>
    <row r="232" spans="6:11" x14ac:dyDescent="0.35">
      <c r="F232"/>
      <c r="G232"/>
      <c r="H232"/>
      <c r="K232"/>
    </row>
    <row r="233" spans="6:11" x14ac:dyDescent="0.35">
      <c r="F233"/>
      <c r="G233"/>
      <c r="H233"/>
      <c r="K233"/>
    </row>
    <row r="234" spans="6:11" x14ac:dyDescent="0.35">
      <c r="F234"/>
      <c r="G234"/>
      <c r="H234"/>
      <c r="K234"/>
    </row>
    <row r="235" spans="6:11" x14ac:dyDescent="0.35">
      <c r="F235"/>
      <c r="G235"/>
      <c r="H235"/>
      <c r="K235"/>
    </row>
    <row r="236" spans="6:11" x14ac:dyDescent="0.35">
      <c r="F236"/>
      <c r="G236"/>
      <c r="H236"/>
      <c r="K236"/>
    </row>
    <row r="237" spans="6:11" x14ac:dyDescent="0.35">
      <c r="F237"/>
      <c r="G237"/>
      <c r="H237"/>
      <c r="K237"/>
    </row>
    <row r="238" spans="6:11" x14ac:dyDescent="0.35">
      <c r="F238"/>
      <c r="G238"/>
      <c r="H238"/>
      <c r="K238"/>
    </row>
    <row r="239" spans="6:11" x14ac:dyDescent="0.35">
      <c r="F239"/>
      <c r="G239"/>
      <c r="H239"/>
      <c r="K239"/>
    </row>
    <row r="240" spans="6:11" x14ac:dyDescent="0.35">
      <c r="F240"/>
      <c r="G240"/>
      <c r="H240"/>
      <c r="K240"/>
    </row>
    <row r="241" spans="6:11" x14ac:dyDescent="0.35">
      <c r="F241"/>
      <c r="G241"/>
      <c r="H241"/>
      <c r="K241"/>
    </row>
    <row r="242" spans="6:11" x14ac:dyDescent="0.35">
      <c r="F242"/>
      <c r="G242"/>
      <c r="H242"/>
      <c r="K242"/>
    </row>
    <row r="243" spans="6:11" x14ac:dyDescent="0.35">
      <c r="F243"/>
      <c r="G243"/>
      <c r="H243"/>
      <c r="K243"/>
    </row>
    <row r="244" spans="6:11" x14ac:dyDescent="0.35">
      <c r="F244"/>
      <c r="G244"/>
      <c r="H244"/>
      <c r="K244"/>
    </row>
    <row r="245" spans="6:11" x14ac:dyDescent="0.35">
      <c r="F245"/>
      <c r="G245"/>
      <c r="H245"/>
      <c r="K245"/>
    </row>
    <row r="246" spans="6:11" x14ac:dyDescent="0.35">
      <c r="F246"/>
      <c r="G246"/>
      <c r="H246"/>
      <c r="K246"/>
    </row>
    <row r="247" spans="6:11" x14ac:dyDescent="0.35">
      <c r="F247"/>
      <c r="G247"/>
      <c r="H247"/>
      <c r="K247"/>
    </row>
    <row r="248" spans="6:11" x14ac:dyDescent="0.35">
      <c r="F248"/>
      <c r="G248"/>
      <c r="H248"/>
      <c r="K248"/>
    </row>
    <row r="249" spans="6:11" x14ac:dyDescent="0.35">
      <c r="F249"/>
      <c r="G249"/>
      <c r="H249"/>
      <c r="K249"/>
    </row>
    <row r="250" spans="6:11" x14ac:dyDescent="0.35">
      <c r="F250"/>
      <c r="G250"/>
      <c r="H250"/>
      <c r="K250"/>
    </row>
    <row r="251" spans="6:11" x14ac:dyDescent="0.35">
      <c r="F251"/>
      <c r="G251"/>
      <c r="H251"/>
      <c r="K251"/>
    </row>
    <row r="252" spans="6:11" x14ac:dyDescent="0.35">
      <c r="F252"/>
      <c r="G252"/>
      <c r="H252"/>
      <c r="K252"/>
    </row>
    <row r="253" spans="6:11" x14ac:dyDescent="0.35">
      <c r="F253"/>
      <c r="G253"/>
      <c r="H253"/>
      <c r="K253"/>
    </row>
    <row r="254" spans="6:11" x14ac:dyDescent="0.35">
      <c r="F254"/>
      <c r="G254"/>
      <c r="H254"/>
      <c r="K254"/>
    </row>
    <row r="255" spans="6:11" x14ac:dyDescent="0.35">
      <c r="F255"/>
      <c r="G255"/>
      <c r="H255"/>
      <c r="K255"/>
    </row>
    <row r="256" spans="6:11" x14ac:dyDescent="0.35">
      <c r="F256"/>
      <c r="G256"/>
      <c r="H256"/>
      <c r="K256"/>
    </row>
    <row r="257" spans="6:11" x14ac:dyDescent="0.35">
      <c r="F257"/>
      <c r="G257"/>
      <c r="H257"/>
      <c r="K257"/>
    </row>
    <row r="258" spans="6:11" x14ac:dyDescent="0.35">
      <c r="F258"/>
      <c r="G258"/>
      <c r="H258"/>
      <c r="K258"/>
    </row>
    <row r="259" spans="6:11" x14ac:dyDescent="0.35">
      <c r="F259"/>
      <c r="G259"/>
      <c r="H259"/>
      <c r="K259"/>
    </row>
    <row r="260" spans="6:11" x14ac:dyDescent="0.35">
      <c r="F260"/>
      <c r="G260"/>
      <c r="H260"/>
      <c r="K260"/>
    </row>
    <row r="261" spans="6:11" x14ac:dyDescent="0.35">
      <c r="F261"/>
      <c r="G261"/>
      <c r="H261"/>
      <c r="K261"/>
    </row>
    <row r="262" spans="6:11" x14ac:dyDescent="0.35">
      <c r="F262"/>
      <c r="G262"/>
      <c r="H262"/>
      <c r="K262"/>
    </row>
    <row r="263" spans="6:11" x14ac:dyDescent="0.35">
      <c r="F263"/>
      <c r="G263"/>
      <c r="H263"/>
      <c r="K263"/>
    </row>
    <row r="264" spans="6:11" x14ac:dyDescent="0.35">
      <c r="F264"/>
      <c r="G264"/>
      <c r="H264"/>
      <c r="K264"/>
    </row>
    <row r="265" spans="6:11" x14ac:dyDescent="0.35">
      <c r="F265"/>
      <c r="G265"/>
      <c r="H265"/>
      <c r="K265"/>
    </row>
    <row r="266" spans="6:11" x14ac:dyDescent="0.35">
      <c r="F266"/>
      <c r="G266"/>
      <c r="H266"/>
      <c r="K266"/>
    </row>
    <row r="267" spans="6:11" x14ac:dyDescent="0.35">
      <c r="F267"/>
      <c r="G267"/>
      <c r="H267"/>
      <c r="K267"/>
    </row>
    <row r="268" spans="6:11" x14ac:dyDescent="0.35">
      <c r="F268"/>
      <c r="G268"/>
      <c r="H268"/>
      <c r="K268"/>
    </row>
    <row r="269" spans="6:11" x14ac:dyDescent="0.35">
      <c r="F269"/>
      <c r="G269"/>
      <c r="H269"/>
      <c r="K269"/>
    </row>
    <row r="270" spans="6:11" x14ac:dyDescent="0.35">
      <c r="F270"/>
      <c r="G270"/>
      <c r="H270"/>
      <c r="K270"/>
    </row>
    <row r="271" spans="6:11" x14ac:dyDescent="0.35">
      <c r="F271"/>
      <c r="G271"/>
      <c r="H271"/>
      <c r="K271"/>
    </row>
    <row r="272" spans="6:11" x14ac:dyDescent="0.35">
      <c r="F272"/>
      <c r="G272"/>
      <c r="H272"/>
      <c r="K272"/>
    </row>
    <row r="273" spans="6:11" x14ac:dyDescent="0.35">
      <c r="F273"/>
      <c r="G273"/>
      <c r="H273"/>
      <c r="K273"/>
    </row>
    <row r="274" spans="6:11" x14ac:dyDescent="0.35">
      <c r="F274"/>
      <c r="G274"/>
      <c r="H274"/>
      <c r="K274"/>
    </row>
    <row r="275" spans="6:11" x14ac:dyDescent="0.35">
      <c r="F275"/>
      <c r="G275"/>
      <c r="H275"/>
      <c r="K275"/>
    </row>
    <row r="276" spans="6:11" x14ac:dyDescent="0.35">
      <c r="F276"/>
      <c r="G276"/>
      <c r="H276"/>
      <c r="K276"/>
    </row>
    <row r="277" spans="6:11" x14ac:dyDescent="0.35">
      <c r="F277"/>
      <c r="G277"/>
      <c r="H277"/>
      <c r="K277"/>
    </row>
    <row r="278" spans="6:11" x14ac:dyDescent="0.35">
      <c r="F278"/>
      <c r="G278"/>
      <c r="H278"/>
      <c r="K278"/>
    </row>
    <row r="279" spans="6:11" x14ac:dyDescent="0.35">
      <c r="F279"/>
      <c r="G279"/>
      <c r="H279"/>
      <c r="K279"/>
    </row>
    <row r="280" spans="6:11" x14ac:dyDescent="0.35">
      <c r="F280"/>
      <c r="G280"/>
      <c r="H280"/>
      <c r="K280"/>
    </row>
    <row r="281" spans="6:11" x14ac:dyDescent="0.35">
      <c r="F281"/>
      <c r="G281"/>
      <c r="H281"/>
      <c r="K281"/>
    </row>
    <row r="282" spans="6:11" x14ac:dyDescent="0.35">
      <c r="F282"/>
      <c r="G282"/>
      <c r="H282"/>
      <c r="K282"/>
    </row>
    <row r="283" spans="6:11" x14ac:dyDescent="0.35">
      <c r="F283"/>
      <c r="G283"/>
      <c r="H283"/>
      <c r="K283"/>
    </row>
    <row r="284" spans="6:11" x14ac:dyDescent="0.35">
      <c r="F284"/>
      <c r="G284"/>
      <c r="H284"/>
      <c r="K284"/>
    </row>
    <row r="285" spans="6:11" x14ac:dyDescent="0.35">
      <c r="F285"/>
      <c r="G285"/>
      <c r="H285"/>
      <c r="K285"/>
    </row>
    <row r="286" spans="6:11" x14ac:dyDescent="0.35">
      <c r="F286"/>
      <c r="G286"/>
      <c r="H286"/>
      <c r="K286"/>
    </row>
    <row r="287" spans="6:11" x14ac:dyDescent="0.35">
      <c r="F287"/>
      <c r="G287"/>
      <c r="H287"/>
      <c r="K287"/>
    </row>
    <row r="288" spans="6:11" x14ac:dyDescent="0.35">
      <c r="F288"/>
      <c r="G288"/>
      <c r="H288"/>
      <c r="K288"/>
    </row>
    <row r="289" spans="6:11" x14ac:dyDescent="0.35">
      <c r="F289"/>
      <c r="G289"/>
      <c r="H289"/>
      <c r="K289"/>
    </row>
    <row r="290" spans="6:11" x14ac:dyDescent="0.35">
      <c r="F290"/>
      <c r="G290"/>
      <c r="H290"/>
      <c r="K290"/>
    </row>
    <row r="291" spans="6:11" x14ac:dyDescent="0.35">
      <c r="F291"/>
      <c r="G291"/>
      <c r="H291"/>
      <c r="K291"/>
    </row>
    <row r="292" spans="6:11" x14ac:dyDescent="0.35">
      <c r="F292"/>
      <c r="G292"/>
      <c r="H292"/>
      <c r="K292"/>
    </row>
    <row r="293" spans="6:11" x14ac:dyDescent="0.35">
      <c r="F293"/>
      <c r="G293"/>
      <c r="H293"/>
      <c r="K293"/>
    </row>
    <row r="294" spans="6:11" x14ac:dyDescent="0.35">
      <c r="F294"/>
      <c r="G294"/>
      <c r="H294"/>
      <c r="K294"/>
    </row>
    <row r="295" spans="6:11" x14ac:dyDescent="0.35">
      <c r="F295"/>
      <c r="G295"/>
      <c r="H295"/>
      <c r="K295"/>
    </row>
    <row r="296" spans="6:11" x14ac:dyDescent="0.35">
      <c r="F296"/>
      <c r="G296"/>
      <c r="H296"/>
      <c r="K296"/>
    </row>
    <row r="297" spans="6:11" x14ac:dyDescent="0.35">
      <c r="F297"/>
      <c r="G297"/>
      <c r="H297"/>
      <c r="K297"/>
    </row>
    <row r="298" spans="6:11" x14ac:dyDescent="0.35">
      <c r="F298"/>
      <c r="G298"/>
      <c r="H298"/>
      <c r="K298"/>
    </row>
    <row r="299" spans="6:11" x14ac:dyDescent="0.35">
      <c r="F299"/>
      <c r="G299"/>
      <c r="H299"/>
      <c r="K299"/>
    </row>
    <row r="300" spans="6:11" x14ac:dyDescent="0.35">
      <c r="F300"/>
      <c r="G300"/>
      <c r="H300"/>
      <c r="K300"/>
    </row>
    <row r="301" spans="6:11" x14ac:dyDescent="0.35">
      <c r="F301"/>
      <c r="G301"/>
      <c r="H301"/>
      <c r="K301"/>
    </row>
    <row r="302" spans="6:11" x14ac:dyDescent="0.35">
      <c r="F302"/>
      <c r="G302"/>
      <c r="H302"/>
      <c r="K302"/>
    </row>
    <row r="303" spans="6:11" x14ac:dyDescent="0.35">
      <c r="F303"/>
      <c r="G303"/>
      <c r="H303"/>
      <c r="K303"/>
    </row>
    <row r="304" spans="6:11" x14ac:dyDescent="0.35">
      <c r="F304"/>
      <c r="G304"/>
      <c r="H304"/>
      <c r="K304"/>
    </row>
    <row r="305" spans="6:11" x14ac:dyDescent="0.35">
      <c r="F305"/>
      <c r="G305"/>
      <c r="H305"/>
      <c r="K305"/>
    </row>
    <row r="306" spans="6:11" x14ac:dyDescent="0.35">
      <c r="F306"/>
      <c r="G306"/>
      <c r="H306"/>
      <c r="K306"/>
    </row>
    <row r="307" spans="6:11" x14ac:dyDescent="0.35">
      <c r="F307"/>
      <c r="G307"/>
      <c r="H307"/>
      <c r="K307"/>
    </row>
    <row r="308" spans="6:11" x14ac:dyDescent="0.35">
      <c r="F308"/>
      <c r="G308"/>
      <c r="H308"/>
      <c r="K308"/>
    </row>
    <row r="309" spans="6:11" x14ac:dyDescent="0.35">
      <c r="F309"/>
      <c r="G309"/>
      <c r="H309"/>
      <c r="K309"/>
    </row>
    <row r="310" spans="6:11" x14ac:dyDescent="0.35">
      <c r="F310"/>
      <c r="G310"/>
      <c r="H310"/>
      <c r="K310"/>
    </row>
    <row r="311" spans="6:11" x14ac:dyDescent="0.35">
      <c r="F311"/>
      <c r="G311"/>
      <c r="H311"/>
      <c r="K311"/>
    </row>
    <row r="312" spans="6:11" x14ac:dyDescent="0.35">
      <c r="F312"/>
      <c r="G312"/>
      <c r="H312"/>
      <c r="K312"/>
    </row>
    <row r="313" spans="6:11" x14ac:dyDescent="0.35">
      <c r="F313"/>
      <c r="G313"/>
      <c r="H313"/>
      <c r="K313"/>
    </row>
    <row r="314" spans="6:11" x14ac:dyDescent="0.35">
      <c r="F314"/>
      <c r="G314"/>
      <c r="H314"/>
      <c r="K314"/>
    </row>
    <row r="315" spans="6:11" x14ac:dyDescent="0.35">
      <c r="F315"/>
      <c r="G315"/>
      <c r="H315"/>
      <c r="K315"/>
    </row>
    <row r="316" spans="6:11" x14ac:dyDescent="0.35">
      <c r="F316"/>
      <c r="G316"/>
      <c r="H316"/>
      <c r="K316"/>
    </row>
    <row r="317" spans="6:11" x14ac:dyDescent="0.35">
      <c r="F317"/>
      <c r="G317"/>
      <c r="H317"/>
      <c r="K317"/>
    </row>
    <row r="318" spans="6:11" x14ac:dyDescent="0.35">
      <c r="F318"/>
      <c r="G318"/>
      <c r="H318"/>
      <c r="K318"/>
    </row>
    <row r="319" spans="6:11" x14ac:dyDescent="0.35">
      <c r="F319"/>
      <c r="G319"/>
      <c r="H319"/>
      <c r="K319"/>
    </row>
    <row r="320" spans="6:11" x14ac:dyDescent="0.35">
      <c r="F320"/>
      <c r="G320"/>
      <c r="H320"/>
      <c r="K320"/>
    </row>
    <row r="321" spans="6:11" x14ac:dyDescent="0.35">
      <c r="F321"/>
      <c r="G321"/>
      <c r="H321"/>
      <c r="K321"/>
    </row>
    <row r="322" spans="6:11" x14ac:dyDescent="0.35">
      <c r="F322"/>
      <c r="G322"/>
      <c r="H322"/>
      <c r="K322"/>
    </row>
    <row r="323" spans="6:11" x14ac:dyDescent="0.35">
      <c r="F323"/>
      <c r="G323"/>
      <c r="H323"/>
      <c r="K323"/>
    </row>
    <row r="324" spans="6:11" x14ac:dyDescent="0.35">
      <c r="F324"/>
      <c r="G324"/>
      <c r="H324"/>
      <c r="K324"/>
    </row>
    <row r="325" spans="6:11" x14ac:dyDescent="0.35">
      <c r="F325"/>
      <c r="G325"/>
      <c r="H325"/>
      <c r="K325"/>
    </row>
    <row r="326" spans="6:11" x14ac:dyDescent="0.35">
      <c r="F326"/>
      <c r="G326"/>
      <c r="H326"/>
      <c r="K326"/>
    </row>
    <row r="327" spans="6:11" x14ac:dyDescent="0.35">
      <c r="F327"/>
      <c r="G327"/>
      <c r="H327"/>
      <c r="K327"/>
    </row>
    <row r="328" spans="6:11" x14ac:dyDescent="0.35">
      <c r="F328"/>
      <c r="G328"/>
      <c r="H328"/>
      <c r="K328"/>
    </row>
    <row r="329" spans="6:11" x14ac:dyDescent="0.35">
      <c r="F329"/>
      <c r="G329"/>
      <c r="H329"/>
      <c r="K329"/>
    </row>
    <row r="330" spans="6:11" x14ac:dyDescent="0.35">
      <c r="F330"/>
      <c r="G330"/>
      <c r="H330"/>
      <c r="K330"/>
    </row>
    <row r="331" spans="6:11" x14ac:dyDescent="0.35">
      <c r="F331"/>
      <c r="G331"/>
      <c r="H331"/>
      <c r="K331"/>
    </row>
    <row r="332" spans="6:11" x14ac:dyDescent="0.35">
      <c r="F332"/>
      <c r="G332"/>
      <c r="H332"/>
      <c r="K332"/>
    </row>
    <row r="333" spans="6:11" x14ac:dyDescent="0.35">
      <c r="F333"/>
      <c r="G333"/>
      <c r="H333"/>
      <c r="K333"/>
    </row>
    <row r="334" spans="6:11" x14ac:dyDescent="0.35">
      <c r="F334"/>
      <c r="G334"/>
      <c r="H334"/>
      <c r="K334"/>
    </row>
    <row r="335" spans="6:11" x14ac:dyDescent="0.35">
      <c r="F335"/>
      <c r="G335"/>
      <c r="H335"/>
      <c r="K335"/>
    </row>
    <row r="336" spans="6:11" x14ac:dyDescent="0.35">
      <c r="F336"/>
      <c r="G336"/>
      <c r="H336"/>
      <c r="K336"/>
    </row>
    <row r="337" spans="6:11" x14ac:dyDescent="0.35">
      <c r="F337"/>
      <c r="G337"/>
      <c r="H337"/>
      <c r="K337"/>
    </row>
    <row r="338" spans="6:11" x14ac:dyDescent="0.35">
      <c r="F338"/>
      <c r="G338"/>
      <c r="H338"/>
      <c r="K338"/>
    </row>
    <row r="339" spans="6:11" x14ac:dyDescent="0.35">
      <c r="F339"/>
      <c r="G339"/>
      <c r="H339"/>
      <c r="K339"/>
    </row>
    <row r="340" spans="6:11" x14ac:dyDescent="0.35">
      <c r="F340"/>
      <c r="G340"/>
      <c r="H340"/>
      <c r="K340"/>
    </row>
    <row r="341" spans="6:11" x14ac:dyDescent="0.35">
      <c r="F341"/>
      <c r="G341"/>
      <c r="H341"/>
      <c r="K341"/>
    </row>
    <row r="342" spans="6:11" x14ac:dyDescent="0.35">
      <c r="F342"/>
      <c r="G342"/>
      <c r="H342"/>
      <c r="K342"/>
    </row>
    <row r="343" spans="6:11" x14ac:dyDescent="0.35">
      <c r="F343"/>
      <c r="G343"/>
      <c r="H343"/>
      <c r="K343"/>
    </row>
    <row r="344" spans="6:11" x14ac:dyDescent="0.35">
      <c r="F344"/>
      <c r="G344"/>
      <c r="H344"/>
      <c r="K344"/>
    </row>
    <row r="345" spans="6:11" x14ac:dyDescent="0.35">
      <c r="F345"/>
      <c r="G345"/>
      <c r="H345"/>
      <c r="K345"/>
    </row>
    <row r="346" spans="6:11" x14ac:dyDescent="0.35">
      <c r="F346"/>
      <c r="G346"/>
      <c r="H346"/>
      <c r="K346"/>
    </row>
    <row r="347" spans="6:11" x14ac:dyDescent="0.35">
      <c r="F347"/>
      <c r="G347"/>
      <c r="H347"/>
      <c r="K347"/>
    </row>
    <row r="348" spans="6:11" x14ac:dyDescent="0.35">
      <c r="F348"/>
      <c r="G348"/>
      <c r="H348"/>
      <c r="K348"/>
    </row>
    <row r="349" spans="6:11" x14ac:dyDescent="0.35">
      <c r="F349"/>
      <c r="G349"/>
      <c r="H349"/>
      <c r="K349"/>
    </row>
    <row r="350" spans="6:11" x14ac:dyDescent="0.35">
      <c r="F350"/>
      <c r="G350"/>
      <c r="H350"/>
      <c r="K350"/>
    </row>
    <row r="351" spans="6:11" x14ac:dyDescent="0.35">
      <c r="F351"/>
      <c r="G351"/>
      <c r="H351"/>
      <c r="K351"/>
    </row>
    <row r="352" spans="6:11" x14ac:dyDescent="0.35">
      <c r="F352"/>
      <c r="G352"/>
      <c r="H352"/>
      <c r="K352"/>
    </row>
    <row r="353" spans="6:11" x14ac:dyDescent="0.35">
      <c r="F353"/>
      <c r="G353"/>
      <c r="H353"/>
      <c r="K353"/>
    </row>
    <row r="354" spans="6:11" x14ac:dyDescent="0.35">
      <c r="F354"/>
      <c r="G354"/>
      <c r="H354"/>
      <c r="K354"/>
    </row>
    <row r="355" spans="6:11" x14ac:dyDescent="0.35">
      <c r="F355"/>
      <c r="G355"/>
      <c r="H355"/>
      <c r="K355"/>
    </row>
    <row r="356" spans="6:11" x14ac:dyDescent="0.35">
      <c r="F356"/>
      <c r="G356"/>
      <c r="H356"/>
      <c r="K356"/>
    </row>
    <row r="357" spans="6:11" x14ac:dyDescent="0.35">
      <c r="F357"/>
      <c r="G357"/>
      <c r="H357"/>
      <c r="K357"/>
    </row>
    <row r="358" spans="6:11" x14ac:dyDescent="0.35">
      <c r="F358"/>
      <c r="G358"/>
      <c r="H358"/>
      <c r="K358"/>
    </row>
    <row r="359" spans="6:11" x14ac:dyDescent="0.35">
      <c r="F359"/>
      <c r="G359"/>
      <c r="H359"/>
      <c r="K359"/>
    </row>
    <row r="360" spans="6:11" x14ac:dyDescent="0.35">
      <c r="F360"/>
      <c r="G360"/>
      <c r="H360"/>
      <c r="K360"/>
    </row>
    <row r="361" spans="6:11" x14ac:dyDescent="0.35">
      <c r="F361"/>
      <c r="G361"/>
      <c r="H361"/>
      <c r="K361"/>
    </row>
    <row r="362" spans="6:11" x14ac:dyDescent="0.35">
      <c r="F362"/>
      <c r="G362"/>
      <c r="H362"/>
      <c r="K362"/>
    </row>
    <row r="363" spans="6:11" x14ac:dyDescent="0.35">
      <c r="F363"/>
      <c r="G363"/>
      <c r="H363"/>
      <c r="K363"/>
    </row>
    <row r="364" spans="6:11" x14ac:dyDescent="0.35">
      <c r="F364"/>
      <c r="G364"/>
      <c r="H364"/>
      <c r="K364"/>
    </row>
    <row r="365" spans="6:11" x14ac:dyDescent="0.35">
      <c r="F365"/>
      <c r="G365"/>
      <c r="H365"/>
      <c r="K365"/>
    </row>
    <row r="366" spans="6:11" x14ac:dyDescent="0.35">
      <c r="F366"/>
      <c r="G366"/>
      <c r="H366"/>
      <c r="K366"/>
    </row>
    <row r="367" spans="6:11" x14ac:dyDescent="0.35">
      <c r="F367"/>
      <c r="G367"/>
      <c r="H367"/>
      <c r="K367"/>
    </row>
    <row r="368" spans="6:11" x14ac:dyDescent="0.35">
      <c r="F368"/>
      <c r="G368"/>
      <c r="H368"/>
      <c r="K368"/>
    </row>
    <row r="369" spans="6:11" x14ac:dyDescent="0.35">
      <c r="F369"/>
      <c r="G369"/>
      <c r="H369"/>
      <c r="K369"/>
    </row>
    <row r="370" spans="6:11" x14ac:dyDescent="0.35">
      <c r="F370"/>
      <c r="G370"/>
      <c r="H370"/>
      <c r="K370"/>
    </row>
    <row r="371" spans="6:11" x14ac:dyDescent="0.35">
      <c r="F371"/>
      <c r="G371"/>
      <c r="H371"/>
      <c r="K371"/>
    </row>
    <row r="372" spans="6:11" x14ac:dyDescent="0.35">
      <c r="F372"/>
      <c r="G372"/>
      <c r="H372"/>
      <c r="K372"/>
    </row>
    <row r="373" spans="6:11" x14ac:dyDescent="0.35">
      <c r="F373"/>
      <c r="G373"/>
      <c r="H373"/>
      <c r="K373"/>
    </row>
    <row r="374" spans="6:11" x14ac:dyDescent="0.35">
      <c r="F374"/>
      <c r="G374"/>
      <c r="H374"/>
      <c r="K374"/>
    </row>
    <row r="375" spans="6:11" x14ac:dyDescent="0.35">
      <c r="F375"/>
      <c r="G375"/>
      <c r="H375"/>
      <c r="K375"/>
    </row>
    <row r="376" spans="6:11" x14ac:dyDescent="0.35">
      <c r="F376"/>
      <c r="G376"/>
      <c r="H376"/>
      <c r="K376"/>
    </row>
    <row r="377" spans="6:11" x14ac:dyDescent="0.35">
      <c r="F377"/>
      <c r="G377"/>
      <c r="H377"/>
      <c r="K377"/>
    </row>
    <row r="378" spans="6:11" x14ac:dyDescent="0.35">
      <c r="F378"/>
      <c r="G378"/>
      <c r="H378"/>
      <c r="K378"/>
    </row>
    <row r="379" spans="6:11" x14ac:dyDescent="0.35">
      <c r="F379"/>
      <c r="G379"/>
      <c r="H379"/>
      <c r="K379"/>
    </row>
    <row r="380" spans="6:11" x14ac:dyDescent="0.35">
      <c r="F380"/>
      <c r="G380"/>
      <c r="H380"/>
      <c r="K380"/>
    </row>
    <row r="381" spans="6:11" x14ac:dyDescent="0.35">
      <c r="F381"/>
      <c r="G381"/>
      <c r="H381"/>
      <c r="K381"/>
    </row>
    <row r="382" spans="6:11" x14ac:dyDescent="0.35">
      <c r="F382"/>
      <c r="G382"/>
      <c r="H382"/>
      <c r="K382"/>
    </row>
    <row r="383" spans="6:11" x14ac:dyDescent="0.35">
      <c r="F383"/>
      <c r="G383"/>
      <c r="H383"/>
      <c r="K383"/>
    </row>
    <row r="384" spans="6:11" x14ac:dyDescent="0.35">
      <c r="F384"/>
      <c r="G384"/>
      <c r="H384"/>
      <c r="K384"/>
    </row>
    <row r="385" spans="6:11" x14ac:dyDescent="0.35">
      <c r="F385"/>
      <c r="G385"/>
      <c r="H385"/>
      <c r="K385"/>
    </row>
    <row r="386" spans="6:11" x14ac:dyDescent="0.35">
      <c r="F386"/>
      <c r="G386"/>
      <c r="H386"/>
      <c r="K386"/>
    </row>
    <row r="387" spans="6:11" x14ac:dyDescent="0.35">
      <c r="F387"/>
      <c r="G387"/>
      <c r="H387"/>
      <c r="K387"/>
    </row>
    <row r="388" spans="6:11" x14ac:dyDescent="0.35">
      <c r="F388"/>
      <c r="G388"/>
      <c r="H388"/>
      <c r="K388"/>
    </row>
    <row r="389" spans="6:11" x14ac:dyDescent="0.35">
      <c r="F389"/>
      <c r="G389"/>
      <c r="H389"/>
      <c r="K389"/>
    </row>
    <row r="390" spans="6:11" x14ac:dyDescent="0.35">
      <c r="F390"/>
      <c r="G390"/>
      <c r="H390"/>
      <c r="K390"/>
    </row>
    <row r="391" spans="6:11" x14ac:dyDescent="0.35">
      <c r="F391"/>
      <c r="G391"/>
      <c r="H391"/>
      <c r="K391"/>
    </row>
    <row r="392" spans="6:11" x14ac:dyDescent="0.35">
      <c r="F392"/>
      <c r="G392"/>
      <c r="H392"/>
      <c r="K392"/>
    </row>
    <row r="393" spans="6:11" x14ac:dyDescent="0.35">
      <c r="F393"/>
      <c r="G393"/>
      <c r="H393"/>
      <c r="K393"/>
    </row>
    <row r="394" spans="6:11" x14ac:dyDescent="0.35">
      <c r="F394"/>
      <c r="G394"/>
      <c r="H394"/>
      <c r="K394"/>
    </row>
    <row r="395" spans="6:11" x14ac:dyDescent="0.35">
      <c r="F395"/>
      <c r="G395"/>
      <c r="H395"/>
      <c r="K395"/>
    </row>
    <row r="396" spans="6:11" x14ac:dyDescent="0.35">
      <c r="F396"/>
      <c r="G396"/>
      <c r="H396"/>
      <c r="K396"/>
    </row>
    <row r="397" spans="6:11" x14ac:dyDescent="0.35">
      <c r="F397"/>
      <c r="G397"/>
      <c r="H397"/>
      <c r="K397"/>
    </row>
    <row r="398" spans="6:11" x14ac:dyDescent="0.35">
      <c r="F398"/>
      <c r="G398"/>
      <c r="H398"/>
      <c r="K398"/>
    </row>
    <row r="399" spans="6:11" x14ac:dyDescent="0.35">
      <c r="F399"/>
      <c r="G399"/>
      <c r="H399"/>
      <c r="K399"/>
    </row>
    <row r="400" spans="6:11" x14ac:dyDescent="0.35">
      <c r="F400"/>
      <c r="G400"/>
      <c r="H400"/>
      <c r="K400"/>
    </row>
    <row r="401" spans="6:11" x14ac:dyDescent="0.35">
      <c r="F401"/>
      <c r="G401"/>
      <c r="H401"/>
      <c r="K401"/>
    </row>
    <row r="402" spans="6:11" x14ac:dyDescent="0.35">
      <c r="F402"/>
      <c r="G402"/>
      <c r="H402"/>
      <c r="K402"/>
    </row>
    <row r="403" spans="6:11" x14ac:dyDescent="0.35">
      <c r="F403"/>
      <c r="G403"/>
      <c r="H403"/>
      <c r="K403"/>
    </row>
    <row r="404" spans="6:11" x14ac:dyDescent="0.35">
      <c r="F404"/>
      <c r="G404"/>
      <c r="H404"/>
      <c r="K404"/>
    </row>
    <row r="405" spans="6:11" x14ac:dyDescent="0.35">
      <c r="F405"/>
      <c r="G405"/>
      <c r="H405"/>
      <c r="K405"/>
    </row>
    <row r="406" spans="6:11" x14ac:dyDescent="0.35">
      <c r="F406"/>
      <c r="G406"/>
      <c r="H406"/>
      <c r="K406"/>
    </row>
    <row r="407" spans="6:11" x14ac:dyDescent="0.35">
      <c r="F407"/>
      <c r="G407"/>
      <c r="H407"/>
      <c r="K407"/>
    </row>
    <row r="408" spans="6:11" x14ac:dyDescent="0.35">
      <c r="F408"/>
      <c r="G408"/>
      <c r="H408"/>
      <c r="K408"/>
    </row>
    <row r="409" spans="6:11" x14ac:dyDescent="0.35">
      <c r="F409"/>
      <c r="G409"/>
      <c r="H409"/>
      <c r="K409"/>
    </row>
    <row r="410" spans="6:11" x14ac:dyDescent="0.35">
      <c r="F410"/>
      <c r="G410"/>
      <c r="H410"/>
      <c r="K410"/>
    </row>
    <row r="411" spans="6:11" x14ac:dyDescent="0.35">
      <c r="F411"/>
      <c r="G411"/>
      <c r="H411"/>
      <c r="K411"/>
    </row>
    <row r="412" spans="6:11" x14ac:dyDescent="0.35">
      <c r="F412"/>
      <c r="G412"/>
      <c r="H412"/>
      <c r="K412"/>
    </row>
    <row r="413" spans="6:11" x14ac:dyDescent="0.35">
      <c r="F413"/>
      <c r="G413"/>
      <c r="H413"/>
      <c r="K413"/>
    </row>
    <row r="414" spans="6:11" x14ac:dyDescent="0.35">
      <c r="F414"/>
      <c r="G414"/>
      <c r="H414"/>
      <c r="K414"/>
    </row>
    <row r="415" spans="6:11" x14ac:dyDescent="0.35">
      <c r="F415"/>
      <c r="G415"/>
      <c r="H415"/>
      <c r="K415"/>
    </row>
    <row r="416" spans="6:11" x14ac:dyDescent="0.35">
      <c r="F416"/>
      <c r="G416"/>
      <c r="H416"/>
      <c r="K416"/>
    </row>
    <row r="417" spans="6:11" x14ac:dyDescent="0.35">
      <c r="F417"/>
      <c r="G417"/>
      <c r="H417"/>
      <c r="K417"/>
    </row>
    <row r="418" spans="6:11" x14ac:dyDescent="0.35">
      <c r="F418"/>
      <c r="G418"/>
      <c r="H418"/>
      <c r="K418"/>
    </row>
    <row r="419" spans="6:11" x14ac:dyDescent="0.35">
      <c r="F419"/>
      <c r="G419"/>
      <c r="H419"/>
      <c r="K419"/>
    </row>
    <row r="420" spans="6:11" x14ac:dyDescent="0.35">
      <c r="F420"/>
      <c r="G420"/>
      <c r="H420"/>
      <c r="K420"/>
    </row>
    <row r="421" spans="6:11" x14ac:dyDescent="0.35">
      <c r="F421"/>
      <c r="G421"/>
      <c r="H421"/>
      <c r="K421"/>
    </row>
    <row r="422" spans="6:11" x14ac:dyDescent="0.35">
      <c r="F422"/>
      <c r="G422"/>
      <c r="H422"/>
      <c r="K422"/>
    </row>
    <row r="423" spans="6:11" x14ac:dyDescent="0.35">
      <c r="F423"/>
      <c r="G423"/>
      <c r="H423"/>
      <c r="K423"/>
    </row>
    <row r="424" spans="6:11" x14ac:dyDescent="0.35">
      <c r="F424"/>
      <c r="G424"/>
      <c r="H424"/>
      <c r="K424"/>
    </row>
    <row r="425" spans="6:11" x14ac:dyDescent="0.35">
      <c r="F425"/>
      <c r="G425"/>
      <c r="H425"/>
      <c r="K425"/>
    </row>
    <row r="426" spans="6:11" x14ac:dyDescent="0.35">
      <c r="F426"/>
      <c r="G426"/>
      <c r="H426"/>
      <c r="K426"/>
    </row>
    <row r="427" spans="6:11" x14ac:dyDescent="0.35">
      <c r="F427"/>
      <c r="G427"/>
      <c r="H427"/>
      <c r="K427"/>
    </row>
    <row r="428" spans="6:11" x14ac:dyDescent="0.35">
      <c r="F428"/>
      <c r="G428"/>
      <c r="H428"/>
      <c r="K428"/>
    </row>
    <row r="429" spans="6:11" x14ac:dyDescent="0.35">
      <c r="F429"/>
      <c r="G429"/>
      <c r="H429"/>
      <c r="K429"/>
    </row>
    <row r="430" spans="6:11" x14ac:dyDescent="0.35">
      <c r="F430"/>
      <c r="G430"/>
      <c r="H430"/>
      <c r="K430"/>
    </row>
    <row r="431" spans="6:11" x14ac:dyDescent="0.35">
      <c r="F431"/>
      <c r="G431"/>
      <c r="H431"/>
      <c r="K431"/>
    </row>
    <row r="432" spans="6:11" x14ac:dyDescent="0.35">
      <c r="F432"/>
      <c r="G432"/>
      <c r="H432"/>
      <c r="K432"/>
    </row>
    <row r="433" spans="6:11" x14ac:dyDescent="0.35">
      <c r="F433"/>
      <c r="G433"/>
      <c r="H433"/>
      <c r="K433"/>
    </row>
    <row r="434" spans="6:11" x14ac:dyDescent="0.35">
      <c r="F434"/>
      <c r="G434"/>
      <c r="H434"/>
      <c r="K434"/>
    </row>
    <row r="435" spans="6:11" x14ac:dyDescent="0.35">
      <c r="F435"/>
      <c r="G435"/>
      <c r="H435"/>
      <c r="K435"/>
    </row>
    <row r="436" spans="6:11" x14ac:dyDescent="0.35">
      <c r="F436"/>
      <c r="G436"/>
      <c r="H436"/>
      <c r="K436"/>
    </row>
    <row r="437" spans="6:11" x14ac:dyDescent="0.35">
      <c r="F437"/>
      <c r="G437"/>
      <c r="H437"/>
      <c r="K437"/>
    </row>
    <row r="438" spans="6:11" x14ac:dyDescent="0.35">
      <c r="F438"/>
      <c r="G438"/>
      <c r="H438"/>
      <c r="K438"/>
    </row>
    <row r="439" spans="6:11" x14ac:dyDescent="0.35">
      <c r="F439"/>
      <c r="G439"/>
      <c r="H439"/>
      <c r="K439"/>
    </row>
    <row r="440" spans="6:11" x14ac:dyDescent="0.35">
      <c r="F440"/>
      <c r="G440"/>
      <c r="H440"/>
      <c r="K440"/>
    </row>
    <row r="441" spans="6:11" x14ac:dyDescent="0.35">
      <c r="F441"/>
      <c r="G441"/>
      <c r="H441"/>
      <c r="K441"/>
    </row>
    <row r="442" spans="6:11" x14ac:dyDescent="0.35">
      <c r="F442"/>
      <c r="G442"/>
      <c r="H442"/>
      <c r="K442"/>
    </row>
    <row r="443" spans="6:11" x14ac:dyDescent="0.35">
      <c r="F443"/>
      <c r="G443"/>
      <c r="H443"/>
      <c r="K443"/>
    </row>
    <row r="444" spans="6:11" x14ac:dyDescent="0.35">
      <c r="F444"/>
      <c r="G444"/>
      <c r="H444"/>
      <c r="K444"/>
    </row>
    <row r="445" spans="6:11" x14ac:dyDescent="0.35">
      <c r="F445"/>
      <c r="G445"/>
      <c r="H445"/>
      <c r="K445"/>
    </row>
    <row r="446" spans="6:11" x14ac:dyDescent="0.35">
      <c r="F446"/>
      <c r="G446"/>
      <c r="H446"/>
      <c r="K446"/>
    </row>
    <row r="447" spans="6:11" x14ac:dyDescent="0.35">
      <c r="F447"/>
      <c r="G447"/>
      <c r="H447"/>
      <c r="K447"/>
    </row>
    <row r="448" spans="6:11" x14ac:dyDescent="0.35">
      <c r="F448"/>
      <c r="G448"/>
      <c r="H448"/>
      <c r="K448"/>
    </row>
    <row r="449" spans="6:11" x14ac:dyDescent="0.35">
      <c r="F449"/>
      <c r="G449"/>
      <c r="H449"/>
      <c r="K449"/>
    </row>
    <row r="450" spans="6:11" x14ac:dyDescent="0.35">
      <c r="F450"/>
      <c r="G450"/>
      <c r="H450"/>
      <c r="K450"/>
    </row>
    <row r="451" spans="6:11" x14ac:dyDescent="0.35">
      <c r="F451"/>
      <c r="G451"/>
      <c r="H451"/>
      <c r="K451"/>
    </row>
    <row r="452" spans="6:11" x14ac:dyDescent="0.35">
      <c r="F452"/>
      <c r="G452"/>
      <c r="H452"/>
      <c r="K452"/>
    </row>
    <row r="453" spans="6:11" x14ac:dyDescent="0.35">
      <c r="F453"/>
      <c r="G453"/>
      <c r="H453"/>
      <c r="K453"/>
    </row>
    <row r="454" spans="6:11" x14ac:dyDescent="0.35">
      <c r="F454"/>
      <c r="G454"/>
      <c r="H454"/>
      <c r="K454"/>
    </row>
    <row r="455" spans="6:11" x14ac:dyDescent="0.35">
      <c r="F455"/>
      <c r="G455"/>
      <c r="H455"/>
      <c r="K455"/>
    </row>
    <row r="456" spans="6:11" x14ac:dyDescent="0.35">
      <c r="F456"/>
      <c r="G456"/>
      <c r="H456"/>
      <c r="K456"/>
    </row>
    <row r="457" spans="6:11" x14ac:dyDescent="0.35">
      <c r="F457"/>
      <c r="G457"/>
      <c r="H457"/>
      <c r="K457"/>
    </row>
    <row r="458" spans="6:11" x14ac:dyDescent="0.35">
      <c r="F458"/>
      <c r="G458"/>
      <c r="H458"/>
      <c r="K458"/>
    </row>
    <row r="459" spans="6:11" x14ac:dyDescent="0.35">
      <c r="F459"/>
      <c r="G459"/>
      <c r="H459"/>
      <c r="K459"/>
    </row>
    <row r="460" spans="6:11" x14ac:dyDescent="0.35">
      <c r="F460"/>
      <c r="G460"/>
      <c r="H460"/>
      <c r="K460"/>
    </row>
    <row r="461" spans="6:11" x14ac:dyDescent="0.35">
      <c r="F461"/>
      <c r="G461"/>
      <c r="H461"/>
      <c r="K461"/>
    </row>
    <row r="462" spans="6:11" x14ac:dyDescent="0.35">
      <c r="F462"/>
      <c r="G462"/>
      <c r="H462"/>
      <c r="K462"/>
    </row>
    <row r="463" spans="6:11" x14ac:dyDescent="0.35">
      <c r="F463"/>
      <c r="G463"/>
      <c r="H463"/>
      <c r="K463"/>
    </row>
    <row r="464" spans="6:11" x14ac:dyDescent="0.35">
      <c r="F464"/>
      <c r="G464"/>
      <c r="H464"/>
      <c r="K464"/>
    </row>
    <row r="465" spans="6:11" x14ac:dyDescent="0.35">
      <c r="F465"/>
      <c r="G465"/>
      <c r="H465"/>
      <c r="K465"/>
    </row>
    <row r="466" spans="6:11" x14ac:dyDescent="0.35">
      <c r="F466"/>
      <c r="G466"/>
      <c r="H466"/>
      <c r="K466"/>
    </row>
    <row r="467" spans="6:11" x14ac:dyDescent="0.35">
      <c r="F467"/>
      <c r="G467"/>
      <c r="H467"/>
      <c r="K467"/>
    </row>
    <row r="468" spans="6:11" x14ac:dyDescent="0.35">
      <c r="F468"/>
      <c r="G468"/>
      <c r="H468"/>
      <c r="K468"/>
    </row>
    <row r="469" spans="6:11" x14ac:dyDescent="0.35">
      <c r="F469"/>
      <c r="G469"/>
      <c r="H469"/>
      <c r="K469"/>
    </row>
    <row r="470" spans="6:11" x14ac:dyDescent="0.35">
      <c r="F470"/>
      <c r="G470"/>
      <c r="H470"/>
      <c r="K470"/>
    </row>
    <row r="471" spans="6:11" x14ac:dyDescent="0.35">
      <c r="F471"/>
      <c r="G471"/>
      <c r="H471"/>
      <c r="K471"/>
    </row>
    <row r="472" spans="6:11" x14ac:dyDescent="0.35">
      <c r="F472"/>
      <c r="G472"/>
      <c r="H472"/>
      <c r="K472"/>
    </row>
    <row r="473" spans="6:11" x14ac:dyDescent="0.35">
      <c r="F473"/>
      <c r="G473"/>
      <c r="H473"/>
      <c r="K473"/>
    </row>
    <row r="474" spans="6:11" x14ac:dyDescent="0.35">
      <c r="F474"/>
      <c r="G474"/>
      <c r="H474"/>
      <c r="K474"/>
    </row>
    <row r="475" spans="6:11" x14ac:dyDescent="0.35">
      <c r="F475"/>
      <c r="G475"/>
      <c r="H475"/>
      <c r="K475"/>
    </row>
    <row r="476" spans="6:11" x14ac:dyDescent="0.35">
      <c r="F476"/>
      <c r="G476"/>
      <c r="H476"/>
      <c r="K476"/>
    </row>
    <row r="477" spans="6:11" x14ac:dyDescent="0.35">
      <c r="F477"/>
      <c r="G477"/>
      <c r="H477"/>
      <c r="K477"/>
    </row>
    <row r="478" spans="6:11" x14ac:dyDescent="0.35">
      <c r="F478"/>
      <c r="G478"/>
      <c r="H478"/>
      <c r="K478"/>
    </row>
    <row r="479" spans="6:11" x14ac:dyDescent="0.35">
      <c r="F479"/>
      <c r="G479"/>
      <c r="H479"/>
      <c r="K479"/>
    </row>
    <row r="480" spans="6:11" x14ac:dyDescent="0.35">
      <c r="F480"/>
      <c r="G480"/>
      <c r="H480"/>
      <c r="K480"/>
    </row>
    <row r="481" spans="6:11" x14ac:dyDescent="0.35">
      <c r="F481"/>
      <c r="G481"/>
      <c r="H481"/>
      <c r="K481"/>
    </row>
    <row r="482" spans="6:11" x14ac:dyDescent="0.35">
      <c r="F482"/>
      <c r="G482"/>
      <c r="H482"/>
      <c r="K482"/>
    </row>
    <row r="483" spans="6:11" x14ac:dyDescent="0.35">
      <c r="F483"/>
      <c r="G483"/>
      <c r="H483"/>
      <c r="K483"/>
    </row>
    <row r="484" spans="6:11" x14ac:dyDescent="0.35">
      <c r="F484"/>
      <c r="G484"/>
      <c r="H484"/>
      <c r="K484"/>
    </row>
    <row r="485" spans="6:11" x14ac:dyDescent="0.35">
      <c r="F485"/>
      <c r="G485"/>
      <c r="H485"/>
      <c r="K485"/>
    </row>
    <row r="486" spans="6:11" x14ac:dyDescent="0.35">
      <c r="F486"/>
      <c r="G486"/>
      <c r="H486"/>
      <c r="K486"/>
    </row>
    <row r="487" spans="6:11" x14ac:dyDescent="0.35">
      <c r="F487"/>
      <c r="G487"/>
      <c r="H487"/>
      <c r="K487"/>
    </row>
    <row r="488" spans="6:11" x14ac:dyDescent="0.35">
      <c r="F488"/>
      <c r="G488"/>
      <c r="H488"/>
      <c r="K488"/>
    </row>
    <row r="489" spans="6:11" x14ac:dyDescent="0.35">
      <c r="F489"/>
      <c r="G489"/>
      <c r="H489"/>
      <c r="K489"/>
    </row>
    <row r="490" spans="6:11" x14ac:dyDescent="0.35">
      <c r="F490"/>
      <c r="G490"/>
      <c r="H490"/>
      <c r="K490"/>
    </row>
    <row r="491" spans="6:11" x14ac:dyDescent="0.35">
      <c r="F491"/>
      <c r="G491"/>
      <c r="H491"/>
      <c r="K491"/>
    </row>
    <row r="492" spans="6:11" x14ac:dyDescent="0.35">
      <c r="F492"/>
      <c r="G492"/>
      <c r="H492"/>
      <c r="K492"/>
    </row>
    <row r="493" spans="6:11" x14ac:dyDescent="0.35">
      <c r="F493"/>
      <c r="G493"/>
      <c r="H493"/>
      <c r="K493"/>
    </row>
    <row r="494" spans="6:11" x14ac:dyDescent="0.35">
      <c r="F494"/>
      <c r="G494"/>
      <c r="H494"/>
      <c r="K494"/>
    </row>
    <row r="495" spans="6:11" x14ac:dyDescent="0.35">
      <c r="F495"/>
      <c r="G495"/>
      <c r="H495"/>
      <c r="K495"/>
    </row>
    <row r="496" spans="6:11" x14ac:dyDescent="0.35">
      <c r="F496"/>
      <c r="G496"/>
      <c r="H496"/>
      <c r="K496"/>
    </row>
    <row r="497" spans="6:11" x14ac:dyDescent="0.35">
      <c r="F497"/>
      <c r="G497"/>
      <c r="H497"/>
      <c r="K497"/>
    </row>
    <row r="498" spans="6:11" x14ac:dyDescent="0.35">
      <c r="F498"/>
      <c r="G498"/>
      <c r="H498"/>
      <c r="K498"/>
    </row>
    <row r="499" spans="6:11" x14ac:dyDescent="0.35">
      <c r="F499"/>
      <c r="G499"/>
      <c r="H499"/>
      <c r="K499"/>
    </row>
    <row r="500" spans="6:11" x14ac:dyDescent="0.35">
      <c r="F500"/>
      <c r="G500"/>
      <c r="H500"/>
      <c r="K500"/>
    </row>
    <row r="501" spans="6:11" x14ac:dyDescent="0.35">
      <c r="F501"/>
      <c r="G501"/>
      <c r="H501"/>
      <c r="K501"/>
    </row>
    <row r="502" spans="6:11" x14ac:dyDescent="0.35">
      <c r="F502"/>
      <c r="G502"/>
      <c r="H502"/>
      <c r="K502"/>
    </row>
    <row r="503" spans="6:11" x14ac:dyDescent="0.35">
      <c r="F503"/>
      <c r="G503"/>
      <c r="H503"/>
      <c r="K503"/>
    </row>
    <row r="504" spans="6:11" x14ac:dyDescent="0.35">
      <c r="F504"/>
      <c r="G504"/>
      <c r="H504"/>
      <c r="K504"/>
    </row>
    <row r="505" spans="6:11" x14ac:dyDescent="0.35">
      <c r="F505"/>
      <c r="G505"/>
      <c r="H505"/>
      <c r="K505"/>
    </row>
    <row r="506" spans="6:11" x14ac:dyDescent="0.35">
      <c r="F506"/>
      <c r="G506"/>
      <c r="H506"/>
      <c r="K506"/>
    </row>
    <row r="507" spans="6:11" x14ac:dyDescent="0.35">
      <c r="F507"/>
      <c r="G507"/>
      <c r="H507"/>
      <c r="K507"/>
    </row>
    <row r="508" spans="6:11" x14ac:dyDescent="0.35">
      <c r="F508"/>
      <c r="G508"/>
      <c r="H508"/>
      <c r="K508"/>
    </row>
    <row r="509" spans="6:11" x14ac:dyDescent="0.35">
      <c r="F509"/>
      <c r="G509"/>
      <c r="H509"/>
      <c r="K509"/>
    </row>
    <row r="510" spans="6:11" x14ac:dyDescent="0.35">
      <c r="F510"/>
      <c r="G510"/>
      <c r="H510"/>
      <c r="K510"/>
    </row>
    <row r="511" spans="6:11" x14ac:dyDescent="0.35">
      <c r="F511"/>
      <c r="G511"/>
      <c r="H511"/>
      <c r="K511"/>
    </row>
    <row r="512" spans="6:11" x14ac:dyDescent="0.35">
      <c r="F512"/>
      <c r="G512"/>
      <c r="H512"/>
      <c r="K512"/>
    </row>
    <row r="513" spans="6:11" x14ac:dyDescent="0.35">
      <c r="F513"/>
      <c r="G513"/>
      <c r="H513"/>
      <c r="K513"/>
    </row>
    <row r="514" spans="6:11" x14ac:dyDescent="0.35">
      <c r="F514"/>
      <c r="G514"/>
      <c r="H514"/>
      <c r="K514"/>
    </row>
    <row r="515" spans="6:11" x14ac:dyDescent="0.35">
      <c r="F515"/>
      <c r="G515"/>
      <c r="H515"/>
      <c r="K515"/>
    </row>
    <row r="516" spans="6:11" x14ac:dyDescent="0.35">
      <c r="F516"/>
      <c r="G516"/>
      <c r="H516"/>
      <c r="K516"/>
    </row>
    <row r="517" spans="6:11" x14ac:dyDescent="0.35">
      <c r="F517"/>
      <c r="G517"/>
      <c r="H517"/>
      <c r="K517"/>
    </row>
    <row r="518" spans="6:11" x14ac:dyDescent="0.35">
      <c r="F518"/>
      <c r="G518"/>
      <c r="H518"/>
      <c r="K518"/>
    </row>
    <row r="519" spans="6:11" x14ac:dyDescent="0.35">
      <c r="F519"/>
      <c r="G519"/>
      <c r="H519"/>
      <c r="K519"/>
    </row>
    <row r="520" spans="6:11" x14ac:dyDescent="0.35">
      <c r="F520"/>
      <c r="G520"/>
      <c r="H520"/>
      <c r="K520"/>
    </row>
    <row r="521" spans="6:11" x14ac:dyDescent="0.35">
      <c r="F521"/>
      <c r="G521"/>
      <c r="H521"/>
      <c r="K521"/>
    </row>
    <row r="522" spans="6:11" x14ac:dyDescent="0.35">
      <c r="F522"/>
      <c r="G522"/>
      <c r="H522"/>
      <c r="K522"/>
    </row>
    <row r="523" spans="6:11" x14ac:dyDescent="0.35">
      <c r="F523"/>
      <c r="G523"/>
      <c r="H523"/>
      <c r="K523"/>
    </row>
    <row r="524" spans="6:11" x14ac:dyDescent="0.35">
      <c r="F524"/>
      <c r="G524"/>
      <c r="H524"/>
      <c r="K524"/>
    </row>
    <row r="525" spans="6:11" x14ac:dyDescent="0.35">
      <c r="F525"/>
      <c r="G525"/>
      <c r="H525"/>
      <c r="K525"/>
    </row>
    <row r="526" spans="6:11" x14ac:dyDescent="0.35">
      <c r="F526"/>
      <c r="G526"/>
      <c r="H526"/>
      <c r="K526"/>
    </row>
    <row r="527" spans="6:11" x14ac:dyDescent="0.35">
      <c r="F527"/>
      <c r="G527"/>
      <c r="H527"/>
      <c r="K527"/>
    </row>
    <row r="528" spans="6:11" x14ac:dyDescent="0.35">
      <c r="F528"/>
      <c r="G528"/>
      <c r="H528"/>
      <c r="K528"/>
    </row>
    <row r="529" spans="6:11" x14ac:dyDescent="0.35">
      <c r="F529"/>
      <c r="G529"/>
      <c r="H529"/>
      <c r="K529"/>
    </row>
    <row r="530" spans="6:11" x14ac:dyDescent="0.35">
      <c r="F530"/>
      <c r="G530"/>
      <c r="H530"/>
      <c r="K530"/>
    </row>
    <row r="531" spans="6:11" x14ac:dyDescent="0.35">
      <c r="F531"/>
      <c r="G531"/>
      <c r="H531"/>
      <c r="K531"/>
    </row>
    <row r="532" spans="6:11" x14ac:dyDescent="0.35">
      <c r="F532"/>
      <c r="G532"/>
      <c r="H532"/>
      <c r="K532"/>
    </row>
    <row r="533" spans="6:11" x14ac:dyDescent="0.35">
      <c r="F533"/>
      <c r="G533"/>
      <c r="H533"/>
      <c r="K533"/>
    </row>
    <row r="534" spans="6:11" x14ac:dyDescent="0.35">
      <c r="F534"/>
      <c r="G534"/>
      <c r="H534"/>
      <c r="K534"/>
    </row>
    <row r="535" spans="6:11" x14ac:dyDescent="0.35">
      <c r="F535"/>
      <c r="G535"/>
      <c r="H535"/>
      <c r="K535"/>
    </row>
    <row r="536" spans="6:11" x14ac:dyDescent="0.35">
      <c r="F536"/>
      <c r="G536"/>
      <c r="H536"/>
      <c r="K536"/>
    </row>
    <row r="537" spans="6:11" x14ac:dyDescent="0.35">
      <c r="F537"/>
      <c r="G537"/>
      <c r="H537"/>
      <c r="K537"/>
    </row>
    <row r="538" spans="6:11" x14ac:dyDescent="0.35">
      <c r="F538"/>
      <c r="G538"/>
      <c r="H538"/>
      <c r="K538"/>
    </row>
    <row r="539" spans="6:11" x14ac:dyDescent="0.35">
      <c r="F539"/>
      <c r="G539"/>
      <c r="H539"/>
      <c r="K539"/>
    </row>
    <row r="540" spans="6:11" x14ac:dyDescent="0.35">
      <c r="F540"/>
      <c r="G540"/>
      <c r="H540"/>
      <c r="K540"/>
    </row>
    <row r="541" spans="6:11" x14ac:dyDescent="0.35">
      <c r="F541"/>
      <c r="G541"/>
      <c r="H541"/>
      <c r="K541"/>
    </row>
    <row r="542" spans="6:11" x14ac:dyDescent="0.35">
      <c r="F542"/>
      <c r="G542"/>
      <c r="H542"/>
      <c r="K542"/>
    </row>
    <row r="543" spans="6:11" x14ac:dyDescent="0.35">
      <c r="F543"/>
      <c r="G543"/>
      <c r="H543"/>
      <c r="K543"/>
    </row>
    <row r="544" spans="6:11" x14ac:dyDescent="0.35">
      <c r="F544"/>
      <c r="G544"/>
      <c r="H544"/>
      <c r="K544"/>
    </row>
    <row r="545" spans="6:11" x14ac:dyDescent="0.35">
      <c r="F545"/>
      <c r="G545"/>
      <c r="H545"/>
      <c r="K545"/>
    </row>
    <row r="546" spans="6:11" x14ac:dyDescent="0.35">
      <c r="F546"/>
      <c r="G546"/>
      <c r="H546"/>
      <c r="K546"/>
    </row>
    <row r="547" spans="6:11" x14ac:dyDescent="0.35">
      <c r="F547"/>
      <c r="G547"/>
      <c r="H547"/>
      <c r="K547"/>
    </row>
    <row r="548" spans="6:11" x14ac:dyDescent="0.35">
      <c r="F548"/>
      <c r="G548"/>
      <c r="H548"/>
      <c r="K548"/>
    </row>
    <row r="549" spans="6:11" x14ac:dyDescent="0.35">
      <c r="F549"/>
      <c r="G549"/>
      <c r="H549"/>
      <c r="K549"/>
    </row>
    <row r="550" spans="6:11" x14ac:dyDescent="0.35">
      <c r="F550"/>
      <c r="G550"/>
      <c r="H550"/>
      <c r="K550"/>
    </row>
    <row r="551" spans="6:11" x14ac:dyDescent="0.35">
      <c r="F551"/>
      <c r="G551"/>
      <c r="H551"/>
      <c r="K551"/>
    </row>
    <row r="552" spans="6:11" x14ac:dyDescent="0.35">
      <c r="F552"/>
      <c r="G552"/>
      <c r="H552"/>
      <c r="K552"/>
    </row>
    <row r="553" spans="6:11" x14ac:dyDescent="0.35">
      <c r="F553"/>
      <c r="G553"/>
      <c r="H553"/>
      <c r="K553"/>
    </row>
    <row r="554" spans="6:11" x14ac:dyDescent="0.35">
      <c r="F554"/>
      <c r="G554"/>
      <c r="H554"/>
      <c r="K554"/>
    </row>
    <row r="555" spans="6:11" x14ac:dyDescent="0.35">
      <c r="F555"/>
      <c r="G555"/>
      <c r="H555"/>
      <c r="K555"/>
    </row>
    <row r="556" spans="6:11" x14ac:dyDescent="0.35">
      <c r="F556"/>
      <c r="G556"/>
      <c r="H556"/>
      <c r="K556"/>
    </row>
    <row r="557" spans="6:11" x14ac:dyDescent="0.35">
      <c r="F557"/>
      <c r="G557"/>
      <c r="H557"/>
      <c r="K557"/>
    </row>
    <row r="558" spans="6:11" x14ac:dyDescent="0.35">
      <c r="F558"/>
      <c r="G558"/>
      <c r="H558"/>
      <c r="K558"/>
    </row>
    <row r="559" spans="6:11" x14ac:dyDescent="0.35">
      <c r="F559"/>
      <c r="G559"/>
      <c r="H559"/>
      <c r="K559"/>
    </row>
    <row r="560" spans="6:11" x14ac:dyDescent="0.35">
      <c r="F560"/>
      <c r="G560"/>
      <c r="H560"/>
      <c r="K560"/>
    </row>
    <row r="561" spans="6:11" x14ac:dyDescent="0.35">
      <c r="F561"/>
      <c r="G561"/>
      <c r="H561"/>
      <c r="K561"/>
    </row>
    <row r="562" spans="6:11" x14ac:dyDescent="0.35">
      <c r="F562"/>
      <c r="G562"/>
      <c r="H562"/>
      <c r="K562"/>
    </row>
    <row r="563" spans="6:11" x14ac:dyDescent="0.35">
      <c r="F563"/>
      <c r="G563"/>
      <c r="H563"/>
      <c r="K563"/>
    </row>
    <row r="564" spans="6:11" x14ac:dyDescent="0.35">
      <c r="F564"/>
      <c r="G564"/>
      <c r="H564"/>
      <c r="K564"/>
    </row>
    <row r="565" spans="6:11" x14ac:dyDescent="0.35">
      <c r="F565"/>
      <c r="G565"/>
      <c r="H565"/>
      <c r="K565"/>
    </row>
    <row r="566" spans="6:11" x14ac:dyDescent="0.35">
      <c r="F566"/>
      <c r="G566"/>
      <c r="H566"/>
      <c r="K566"/>
    </row>
    <row r="567" spans="6:11" x14ac:dyDescent="0.35">
      <c r="F567"/>
      <c r="G567"/>
      <c r="H567"/>
      <c r="K567"/>
    </row>
    <row r="568" spans="6:11" x14ac:dyDescent="0.35">
      <c r="F568"/>
      <c r="G568"/>
      <c r="H568"/>
      <c r="K568"/>
    </row>
    <row r="569" spans="6:11" x14ac:dyDescent="0.35">
      <c r="F569"/>
      <c r="G569"/>
      <c r="H569"/>
      <c r="K569"/>
    </row>
    <row r="570" spans="6:11" x14ac:dyDescent="0.35">
      <c r="F570"/>
      <c r="G570"/>
      <c r="H570"/>
      <c r="K570"/>
    </row>
    <row r="571" spans="6:11" x14ac:dyDescent="0.35">
      <c r="F571"/>
      <c r="G571"/>
      <c r="H571"/>
      <c r="K571"/>
    </row>
    <row r="572" spans="6:11" x14ac:dyDescent="0.35">
      <c r="F572"/>
      <c r="G572"/>
      <c r="H572"/>
      <c r="K572"/>
    </row>
    <row r="573" spans="6:11" x14ac:dyDescent="0.35">
      <c r="F573"/>
      <c r="G573"/>
      <c r="H573"/>
      <c r="K573"/>
    </row>
    <row r="574" spans="6:11" x14ac:dyDescent="0.35">
      <c r="F574"/>
      <c r="G574"/>
      <c r="H574"/>
      <c r="K574"/>
    </row>
    <row r="575" spans="6:11" x14ac:dyDescent="0.35">
      <c r="F575"/>
      <c r="G575"/>
      <c r="H575"/>
      <c r="K575"/>
    </row>
    <row r="576" spans="6:11" x14ac:dyDescent="0.35">
      <c r="F576"/>
      <c r="G576"/>
      <c r="H576"/>
      <c r="K576"/>
    </row>
    <row r="577" spans="6:11" x14ac:dyDescent="0.35">
      <c r="F577"/>
      <c r="G577"/>
      <c r="H577"/>
      <c r="K577"/>
    </row>
    <row r="578" spans="6:11" x14ac:dyDescent="0.35">
      <c r="F578"/>
      <c r="G578"/>
      <c r="H578"/>
      <c r="K578"/>
    </row>
    <row r="579" spans="6:11" x14ac:dyDescent="0.35">
      <c r="F579"/>
      <c r="G579"/>
      <c r="H579"/>
      <c r="K579"/>
    </row>
    <row r="580" spans="6:11" x14ac:dyDescent="0.35">
      <c r="F580"/>
      <c r="G580"/>
      <c r="H580"/>
      <c r="K580"/>
    </row>
    <row r="581" spans="6:11" x14ac:dyDescent="0.35">
      <c r="F581"/>
      <c r="G581"/>
      <c r="H581"/>
      <c r="K581"/>
    </row>
    <row r="582" spans="6:11" x14ac:dyDescent="0.35">
      <c r="F582"/>
      <c r="G582"/>
      <c r="H582"/>
      <c r="K582"/>
    </row>
    <row r="583" spans="6:11" x14ac:dyDescent="0.35">
      <c r="F583"/>
      <c r="G583"/>
      <c r="H583"/>
      <c r="K583"/>
    </row>
    <row r="584" spans="6:11" x14ac:dyDescent="0.35">
      <c r="F584"/>
      <c r="G584"/>
      <c r="H584"/>
      <c r="K584"/>
    </row>
    <row r="585" spans="6:11" x14ac:dyDescent="0.35">
      <c r="F585"/>
      <c r="G585"/>
      <c r="H585"/>
      <c r="K585"/>
    </row>
    <row r="586" spans="6:11" x14ac:dyDescent="0.35">
      <c r="F586"/>
      <c r="G586"/>
      <c r="H586"/>
      <c r="K586"/>
    </row>
    <row r="587" spans="6:11" x14ac:dyDescent="0.35">
      <c r="F587"/>
      <c r="G587"/>
      <c r="H587"/>
      <c r="K587"/>
    </row>
    <row r="588" spans="6:11" x14ac:dyDescent="0.35">
      <c r="F588"/>
      <c r="G588"/>
      <c r="H588"/>
      <c r="K588"/>
    </row>
    <row r="589" spans="6:11" x14ac:dyDescent="0.35">
      <c r="F589"/>
      <c r="G589"/>
      <c r="H589"/>
      <c r="K589"/>
    </row>
    <row r="590" spans="6:11" x14ac:dyDescent="0.35">
      <c r="F590"/>
      <c r="G590"/>
      <c r="H590"/>
      <c r="K590"/>
    </row>
    <row r="591" spans="6:11" x14ac:dyDescent="0.35">
      <c r="F591"/>
      <c r="G591"/>
      <c r="H591"/>
      <c r="K591"/>
    </row>
    <row r="592" spans="6:11" x14ac:dyDescent="0.35">
      <c r="F592"/>
      <c r="G592"/>
      <c r="H592"/>
      <c r="K592"/>
    </row>
    <row r="593" spans="6:11" x14ac:dyDescent="0.35">
      <c r="F593"/>
      <c r="G593"/>
      <c r="H593"/>
      <c r="K593"/>
    </row>
    <row r="594" spans="6:11" x14ac:dyDescent="0.35">
      <c r="F594"/>
      <c r="G594"/>
      <c r="H594"/>
      <c r="K594"/>
    </row>
    <row r="595" spans="6:11" x14ac:dyDescent="0.35">
      <c r="F595"/>
      <c r="G595"/>
      <c r="H595"/>
      <c r="K595"/>
    </row>
    <row r="596" spans="6:11" x14ac:dyDescent="0.35">
      <c r="F596"/>
      <c r="G596"/>
      <c r="H596"/>
      <c r="K596"/>
    </row>
    <row r="597" spans="6:11" x14ac:dyDescent="0.35">
      <c r="F597"/>
      <c r="G597"/>
      <c r="H597"/>
      <c r="K597"/>
    </row>
    <row r="598" spans="6:11" x14ac:dyDescent="0.35">
      <c r="F598"/>
      <c r="G598"/>
      <c r="H598"/>
      <c r="K598"/>
    </row>
    <row r="599" spans="6:11" x14ac:dyDescent="0.35">
      <c r="F599"/>
      <c r="G599"/>
      <c r="H599"/>
      <c r="K599"/>
    </row>
    <row r="600" spans="6:11" x14ac:dyDescent="0.35">
      <c r="F600"/>
      <c r="G600"/>
      <c r="H600"/>
      <c r="K600"/>
    </row>
    <row r="601" spans="6:11" x14ac:dyDescent="0.35">
      <c r="F601"/>
      <c r="G601"/>
      <c r="H601"/>
      <c r="K601"/>
    </row>
    <row r="602" spans="6:11" x14ac:dyDescent="0.35">
      <c r="F602"/>
      <c r="G602"/>
      <c r="H602"/>
      <c r="K602"/>
    </row>
    <row r="603" spans="6:11" x14ac:dyDescent="0.35">
      <c r="F603"/>
      <c r="G603"/>
      <c r="H603"/>
      <c r="K603"/>
    </row>
    <row r="604" spans="6:11" x14ac:dyDescent="0.35">
      <c r="F604"/>
      <c r="G604"/>
      <c r="H604"/>
      <c r="K604"/>
    </row>
    <row r="605" spans="6:11" x14ac:dyDescent="0.35">
      <c r="F605"/>
      <c r="G605"/>
      <c r="H605"/>
      <c r="K605"/>
    </row>
    <row r="606" spans="6:11" x14ac:dyDescent="0.35">
      <c r="F606"/>
      <c r="G606"/>
      <c r="H606"/>
      <c r="K606"/>
    </row>
    <row r="607" spans="6:11" x14ac:dyDescent="0.35">
      <c r="F607"/>
      <c r="G607"/>
      <c r="H607"/>
      <c r="K607"/>
    </row>
    <row r="608" spans="6:11" x14ac:dyDescent="0.35">
      <c r="F608"/>
      <c r="G608"/>
      <c r="H608"/>
      <c r="K608"/>
    </row>
    <row r="609" spans="6:11" x14ac:dyDescent="0.35">
      <c r="F609"/>
      <c r="G609"/>
      <c r="H609"/>
      <c r="K609"/>
    </row>
    <row r="610" spans="6:11" x14ac:dyDescent="0.35">
      <c r="F610"/>
      <c r="G610"/>
      <c r="H610"/>
      <c r="K610"/>
    </row>
    <row r="611" spans="6:11" x14ac:dyDescent="0.35">
      <c r="F611"/>
      <c r="G611"/>
      <c r="H611"/>
      <c r="K611"/>
    </row>
    <row r="612" spans="6:11" x14ac:dyDescent="0.35">
      <c r="F612"/>
      <c r="G612"/>
      <c r="H612"/>
      <c r="K612"/>
    </row>
    <row r="613" spans="6:11" x14ac:dyDescent="0.35">
      <c r="F613"/>
      <c r="G613"/>
      <c r="H613"/>
      <c r="K613"/>
    </row>
    <row r="614" spans="6:11" x14ac:dyDescent="0.35">
      <c r="F614"/>
      <c r="G614"/>
      <c r="H614"/>
      <c r="K614"/>
    </row>
    <row r="615" spans="6:11" x14ac:dyDescent="0.35">
      <c r="F615"/>
      <c r="G615"/>
      <c r="H615"/>
      <c r="K615"/>
    </row>
    <row r="616" spans="6:11" x14ac:dyDescent="0.35">
      <c r="F616"/>
      <c r="G616"/>
      <c r="H616"/>
      <c r="K616"/>
    </row>
    <row r="617" spans="6:11" x14ac:dyDescent="0.35">
      <c r="F617"/>
      <c r="G617"/>
      <c r="H617"/>
      <c r="K617"/>
    </row>
    <row r="618" spans="6:11" x14ac:dyDescent="0.35">
      <c r="F618"/>
      <c r="G618"/>
      <c r="H618"/>
      <c r="K618"/>
    </row>
    <row r="619" spans="6:11" x14ac:dyDescent="0.35">
      <c r="F619"/>
      <c r="G619"/>
      <c r="H619"/>
      <c r="K619"/>
    </row>
    <row r="620" spans="6:11" x14ac:dyDescent="0.35">
      <c r="F620"/>
      <c r="G620"/>
      <c r="H620"/>
      <c r="K620"/>
    </row>
    <row r="621" spans="6:11" x14ac:dyDescent="0.35">
      <c r="F621"/>
      <c r="G621"/>
      <c r="H621"/>
      <c r="K621"/>
    </row>
    <row r="622" spans="6:11" x14ac:dyDescent="0.35">
      <c r="F622"/>
      <c r="G622"/>
      <c r="H622"/>
      <c r="K622"/>
    </row>
    <row r="623" spans="6:11" x14ac:dyDescent="0.35">
      <c r="F623"/>
      <c r="G623"/>
      <c r="H623"/>
      <c r="K623"/>
    </row>
    <row r="624" spans="6:11" x14ac:dyDescent="0.35">
      <c r="F624"/>
      <c r="G624"/>
      <c r="H624"/>
      <c r="K624"/>
    </row>
    <row r="625" spans="6:11" x14ac:dyDescent="0.35">
      <c r="F625"/>
      <c r="G625"/>
      <c r="H625"/>
      <c r="K625"/>
    </row>
    <row r="626" spans="6:11" x14ac:dyDescent="0.35">
      <c r="F626"/>
      <c r="G626"/>
      <c r="H626"/>
      <c r="K626"/>
    </row>
    <row r="627" spans="6:11" x14ac:dyDescent="0.35">
      <c r="F627"/>
      <c r="G627"/>
      <c r="H627"/>
      <c r="K627"/>
    </row>
    <row r="628" spans="6:11" x14ac:dyDescent="0.35">
      <c r="F628"/>
      <c r="G628"/>
      <c r="H628"/>
      <c r="K628"/>
    </row>
    <row r="629" spans="6:11" x14ac:dyDescent="0.35">
      <c r="F629"/>
      <c r="G629"/>
      <c r="H629"/>
      <c r="K629"/>
    </row>
    <row r="630" spans="6:11" x14ac:dyDescent="0.35">
      <c r="F630"/>
      <c r="G630"/>
      <c r="H630"/>
      <c r="K630"/>
    </row>
    <row r="631" spans="6:11" x14ac:dyDescent="0.35">
      <c r="F631"/>
      <c r="G631"/>
      <c r="H631"/>
      <c r="K631"/>
    </row>
    <row r="632" spans="6:11" x14ac:dyDescent="0.35">
      <c r="F632"/>
      <c r="G632"/>
      <c r="H632"/>
      <c r="K632"/>
    </row>
    <row r="633" spans="6:11" x14ac:dyDescent="0.35">
      <c r="F633"/>
      <c r="G633"/>
      <c r="H633"/>
      <c r="K633"/>
    </row>
    <row r="634" spans="6:11" x14ac:dyDescent="0.35">
      <c r="F634"/>
      <c r="G634"/>
      <c r="H634"/>
      <c r="K634"/>
    </row>
    <row r="635" spans="6:11" x14ac:dyDescent="0.35">
      <c r="F635"/>
      <c r="G635"/>
      <c r="H635"/>
      <c r="K635"/>
    </row>
    <row r="636" spans="6:11" x14ac:dyDescent="0.35">
      <c r="F636"/>
      <c r="G636"/>
      <c r="H636"/>
      <c r="K636"/>
    </row>
    <row r="637" spans="6:11" x14ac:dyDescent="0.35">
      <c r="F637"/>
      <c r="G637"/>
      <c r="H637"/>
      <c r="K637"/>
    </row>
    <row r="638" spans="6:11" x14ac:dyDescent="0.35">
      <c r="F638"/>
      <c r="G638"/>
      <c r="H638"/>
      <c r="K638"/>
    </row>
    <row r="639" spans="6:11" x14ac:dyDescent="0.35">
      <c r="F639"/>
      <c r="G639"/>
      <c r="H639"/>
      <c r="K639"/>
    </row>
    <row r="640" spans="6:11" x14ac:dyDescent="0.35">
      <c r="F640"/>
      <c r="G640"/>
      <c r="H640"/>
      <c r="K640"/>
    </row>
    <row r="641" spans="6:11" x14ac:dyDescent="0.35">
      <c r="F641"/>
      <c r="G641"/>
      <c r="H641"/>
      <c r="K641"/>
    </row>
    <row r="642" spans="6:11" x14ac:dyDescent="0.35">
      <c r="F642"/>
      <c r="G642"/>
      <c r="H642"/>
      <c r="K642"/>
    </row>
    <row r="643" spans="6:11" x14ac:dyDescent="0.35">
      <c r="F643"/>
      <c r="G643"/>
      <c r="H643"/>
      <c r="K643"/>
    </row>
    <row r="644" spans="6:11" x14ac:dyDescent="0.35">
      <c r="F644"/>
      <c r="G644"/>
      <c r="H644"/>
      <c r="K644"/>
    </row>
    <row r="645" spans="6:11" x14ac:dyDescent="0.35">
      <c r="F645"/>
      <c r="G645"/>
      <c r="H645"/>
      <c r="K645"/>
    </row>
    <row r="646" spans="6:11" x14ac:dyDescent="0.35">
      <c r="F646"/>
      <c r="G646"/>
      <c r="H646"/>
      <c r="K646"/>
    </row>
    <row r="647" spans="6:11" x14ac:dyDescent="0.35">
      <c r="F647"/>
      <c r="G647"/>
      <c r="H647"/>
      <c r="K647"/>
    </row>
    <row r="648" spans="6:11" x14ac:dyDescent="0.35">
      <c r="F648"/>
      <c r="G648"/>
      <c r="H648"/>
      <c r="K648"/>
    </row>
    <row r="649" spans="6:11" x14ac:dyDescent="0.35">
      <c r="F649"/>
      <c r="G649"/>
      <c r="H649"/>
      <c r="K649"/>
    </row>
    <row r="650" spans="6:11" x14ac:dyDescent="0.35">
      <c r="F650"/>
      <c r="G650"/>
      <c r="H650"/>
      <c r="K650"/>
    </row>
    <row r="651" spans="6:11" x14ac:dyDescent="0.35">
      <c r="F651"/>
      <c r="G651"/>
      <c r="H651"/>
      <c r="K651"/>
    </row>
    <row r="652" spans="6:11" x14ac:dyDescent="0.35">
      <c r="F652"/>
      <c r="G652"/>
      <c r="H652"/>
      <c r="K652"/>
    </row>
    <row r="653" spans="6:11" x14ac:dyDescent="0.35">
      <c r="F653"/>
      <c r="G653"/>
      <c r="H653"/>
      <c r="K653"/>
    </row>
    <row r="654" spans="6:11" x14ac:dyDescent="0.35">
      <c r="F654"/>
      <c r="G654"/>
      <c r="H654"/>
      <c r="K654"/>
    </row>
    <row r="655" spans="6:11" x14ac:dyDescent="0.35">
      <c r="F655"/>
      <c r="G655"/>
      <c r="H655"/>
      <c r="K655"/>
    </row>
    <row r="656" spans="6:11" x14ac:dyDescent="0.35">
      <c r="F656"/>
      <c r="G656"/>
      <c r="H656"/>
      <c r="K656"/>
    </row>
    <row r="657" spans="6:11" x14ac:dyDescent="0.35">
      <c r="F657"/>
      <c r="G657"/>
      <c r="H657"/>
      <c r="K657"/>
    </row>
    <row r="658" spans="6:11" x14ac:dyDescent="0.35">
      <c r="F658"/>
      <c r="G658"/>
      <c r="H658"/>
      <c r="K658"/>
    </row>
    <row r="659" spans="6:11" x14ac:dyDescent="0.35">
      <c r="F659"/>
      <c r="G659"/>
      <c r="H659"/>
      <c r="K659"/>
    </row>
    <row r="660" spans="6:11" x14ac:dyDescent="0.35">
      <c r="F660"/>
      <c r="G660"/>
      <c r="H660"/>
      <c r="K660"/>
    </row>
    <row r="661" spans="6:11" x14ac:dyDescent="0.35">
      <c r="F661"/>
      <c r="G661"/>
      <c r="H661"/>
      <c r="K661"/>
    </row>
    <row r="662" spans="6:11" x14ac:dyDescent="0.35">
      <c r="F662"/>
      <c r="G662"/>
      <c r="H662"/>
      <c r="K662"/>
    </row>
    <row r="663" spans="6:11" x14ac:dyDescent="0.35">
      <c r="F663"/>
      <c r="G663"/>
      <c r="H663"/>
      <c r="K663"/>
    </row>
    <row r="664" spans="6:11" x14ac:dyDescent="0.35">
      <c r="F664"/>
      <c r="G664"/>
      <c r="H664"/>
      <c r="K664"/>
    </row>
    <row r="665" spans="6:11" x14ac:dyDescent="0.35">
      <c r="F665"/>
      <c r="G665"/>
      <c r="H665"/>
      <c r="K665"/>
    </row>
    <row r="666" spans="6:11" x14ac:dyDescent="0.35">
      <c r="F666"/>
      <c r="G666"/>
      <c r="H666"/>
      <c r="K666"/>
    </row>
    <row r="667" spans="6:11" x14ac:dyDescent="0.35">
      <c r="F667"/>
      <c r="G667"/>
      <c r="H667"/>
      <c r="K667"/>
    </row>
    <row r="668" spans="6:11" x14ac:dyDescent="0.35">
      <c r="F668"/>
      <c r="G668"/>
      <c r="H668"/>
      <c r="K668"/>
    </row>
    <row r="669" spans="6:11" x14ac:dyDescent="0.35">
      <c r="F669"/>
      <c r="G669"/>
      <c r="H669"/>
      <c r="K669"/>
    </row>
    <row r="670" spans="6:11" x14ac:dyDescent="0.35">
      <c r="F670"/>
      <c r="G670"/>
      <c r="H670"/>
      <c r="K670"/>
    </row>
    <row r="671" spans="6:11" x14ac:dyDescent="0.35">
      <c r="F671"/>
      <c r="G671"/>
      <c r="H671"/>
      <c r="K671"/>
    </row>
    <row r="672" spans="6:11" x14ac:dyDescent="0.35">
      <c r="F672"/>
      <c r="G672"/>
      <c r="H672"/>
      <c r="K672"/>
    </row>
    <row r="673" spans="6:11" x14ac:dyDescent="0.35">
      <c r="F673"/>
      <c r="G673"/>
      <c r="H673"/>
      <c r="K673"/>
    </row>
    <row r="674" spans="6:11" x14ac:dyDescent="0.35">
      <c r="F674"/>
      <c r="G674"/>
      <c r="H674"/>
      <c r="K674"/>
    </row>
    <row r="675" spans="6:11" x14ac:dyDescent="0.35">
      <c r="F675"/>
      <c r="G675"/>
      <c r="H675"/>
      <c r="K675"/>
    </row>
    <row r="676" spans="6:11" x14ac:dyDescent="0.35">
      <c r="F676"/>
      <c r="G676"/>
      <c r="H676"/>
      <c r="K676"/>
    </row>
    <row r="677" spans="6:11" x14ac:dyDescent="0.35">
      <c r="F677"/>
      <c r="G677"/>
      <c r="H677"/>
      <c r="K677"/>
    </row>
    <row r="678" spans="6:11" x14ac:dyDescent="0.35">
      <c r="F678"/>
      <c r="G678"/>
      <c r="H678"/>
      <c r="K678"/>
    </row>
    <row r="679" spans="6:11" x14ac:dyDescent="0.35">
      <c r="F679"/>
      <c r="G679"/>
      <c r="H679"/>
      <c r="K679"/>
    </row>
    <row r="680" spans="6:11" x14ac:dyDescent="0.35">
      <c r="F680"/>
      <c r="G680"/>
      <c r="H680"/>
      <c r="K680"/>
    </row>
    <row r="681" spans="6:11" x14ac:dyDescent="0.35">
      <c r="F681"/>
      <c r="G681"/>
      <c r="H681"/>
      <c r="K681"/>
    </row>
    <row r="682" spans="6:11" x14ac:dyDescent="0.35">
      <c r="F682"/>
      <c r="G682"/>
      <c r="H682"/>
      <c r="K682"/>
    </row>
    <row r="683" spans="6:11" x14ac:dyDescent="0.35">
      <c r="F683"/>
      <c r="G683"/>
      <c r="H683"/>
      <c r="K683"/>
    </row>
    <row r="684" spans="6:11" x14ac:dyDescent="0.35">
      <c r="F684"/>
      <c r="G684"/>
      <c r="H684"/>
      <c r="K684"/>
    </row>
    <row r="685" spans="6:11" x14ac:dyDescent="0.35">
      <c r="F685"/>
      <c r="G685"/>
      <c r="H685"/>
      <c r="K685"/>
    </row>
    <row r="686" spans="6:11" x14ac:dyDescent="0.35">
      <c r="F686"/>
      <c r="G686"/>
      <c r="H686"/>
      <c r="K686"/>
    </row>
    <row r="687" spans="6:11" x14ac:dyDescent="0.35">
      <c r="F687"/>
      <c r="G687"/>
      <c r="H687"/>
      <c r="K687"/>
    </row>
    <row r="688" spans="6:11" x14ac:dyDescent="0.35">
      <c r="F688"/>
      <c r="G688"/>
      <c r="H688"/>
      <c r="K688"/>
    </row>
    <row r="689" spans="6:11" x14ac:dyDescent="0.35">
      <c r="F689"/>
      <c r="G689"/>
      <c r="H689"/>
      <c r="K689"/>
    </row>
    <row r="690" spans="6:11" x14ac:dyDescent="0.35">
      <c r="F690"/>
      <c r="G690"/>
      <c r="H690"/>
      <c r="K690"/>
    </row>
    <row r="691" spans="6:11" x14ac:dyDescent="0.35">
      <c r="F691"/>
      <c r="G691"/>
      <c r="H691"/>
      <c r="K691"/>
    </row>
    <row r="692" spans="6:11" x14ac:dyDescent="0.35">
      <c r="F692"/>
      <c r="G692"/>
      <c r="H692"/>
      <c r="K692"/>
    </row>
    <row r="693" spans="6:11" x14ac:dyDescent="0.35">
      <c r="F693"/>
      <c r="G693"/>
      <c r="H693"/>
      <c r="K693"/>
    </row>
    <row r="694" spans="6:11" x14ac:dyDescent="0.35">
      <c r="F694"/>
      <c r="G694"/>
      <c r="H694"/>
      <c r="K694"/>
    </row>
    <row r="695" spans="6:11" x14ac:dyDescent="0.35">
      <c r="F695"/>
      <c r="G695"/>
      <c r="H695"/>
      <c r="K695"/>
    </row>
    <row r="696" spans="6:11" x14ac:dyDescent="0.35">
      <c r="F696"/>
      <c r="G696"/>
      <c r="H696"/>
      <c r="K696"/>
    </row>
    <row r="697" spans="6:11" x14ac:dyDescent="0.35">
      <c r="F697"/>
      <c r="G697"/>
      <c r="H697"/>
      <c r="K697"/>
    </row>
    <row r="698" spans="6:11" x14ac:dyDescent="0.35">
      <c r="F698"/>
      <c r="G698"/>
      <c r="H698"/>
      <c r="K698"/>
    </row>
    <row r="699" spans="6:11" x14ac:dyDescent="0.35">
      <c r="F699"/>
      <c r="G699"/>
      <c r="H699"/>
      <c r="K699"/>
    </row>
    <row r="700" spans="6:11" x14ac:dyDescent="0.35">
      <c r="F700"/>
      <c r="G700"/>
      <c r="H700"/>
      <c r="K700"/>
    </row>
    <row r="701" spans="6:11" x14ac:dyDescent="0.35">
      <c r="F701"/>
      <c r="G701"/>
      <c r="H701"/>
      <c r="K701"/>
    </row>
    <row r="702" spans="6:11" x14ac:dyDescent="0.35">
      <c r="F702"/>
      <c r="G702"/>
      <c r="H702"/>
      <c r="K702"/>
    </row>
    <row r="703" spans="6:11" x14ac:dyDescent="0.35">
      <c r="F703"/>
      <c r="G703"/>
      <c r="H703"/>
      <c r="K703"/>
    </row>
    <row r="704" spans="6:11" x14ac:dyDescent="0.35">
      <c r="F704"/>
      <c r="G704"/>
      <c r="H704"/>
      <c r="K704"/>
    </row>
    <row r="705" spans="6:11" x14ac:dyDescent="0.35">
      <c r="F705"/>
      <c r="G705"/>
      <c r="H705"/>
      <c r="K705"/>
    </row>
    <row r="706" spans="6:11" x14ac:dyDescent="0.35">
      <c r="F706"/>
      <c r="G706"/>
      <c r="H706"/>
      <c r="K706"/>
    </row>
    <row r="707" spans="6:11" x14ac:dyDescent="0.35">
      <c r="F707"/>
      <c r="G707"/>
      <c r="H707"/>
      <c r="K707"/>
    </row>
    <row r="708" spans="6:11" x14ac:dyDescent="0.35">
      <c r="F708"/>
      <c r="G708"/>
      <c r="H708"/>
      <c r="K708"/>
    </row>
    <row r="709" spans="6:11" x14ac:dyDescent="0.35">
      <c r="F709"/>
      <c r="G709"/>
      <c r="H709"/>
      <c r="K709"/>
    </row>
    <row r="710" spans="6:11" x14ac:dyDescent="0.35">
      <c r="F710"/>
      <c r="G710"/>
      <c r="H710"/>
      <c r="K710"/>
    </row>
    <row r="711" spans="6:11" x14ac:dyDescent="0.35">
      <c r="F711"/>
      <c r="G711"/>
      <c r="H711"/>
      <c r="K711"/>
    </row>
    <row r="712" spans="6:11" x14ac:dyDescent="0.35">
      <c r="F712"/>
      <c r="G712"/>
      <c r="H712"/>
      <c r="K712"/>
    </row>
    <row r="713" spans="6:11" x14ac:dyDescent="0.35">
      <c r="F713"/>
      <c r="G713"/>
      <c r="H713"/>
      <c r="K713"/>
    </row>
    <row r="714" spans="6:11" x14ac:dyDescent="0.35">
      <c r="F714"/>
      <c r="G714"/>
      <c r="H714"/>
      <c r="K714"/>
    </row>
    <row r="715" spans="6:11" x14ac:dyDescent="0.35">
      <c r="F715"/>
      <c r="G715"/>
      <c r="H715"/>
      <c r="K715"/>
    </row>
    <row r="716" spans="6:11" x14ac:dyDescent="0.35">
      <c r="F716"/>
      <c r="G716"/>
      <c r="H716"/>
      <c r="K716"/>
    </row>
    <row r="717" spans="6:11" x14ac:dyDescent="0.35">
      <c r="F717"/>
      <c r="G717"/>
      <c r="H717"/>
      <c r="K717"/>
    </row>
    <row r="718" spans="6:11" x14ac:dyDescent="0.35">
      <c r="F718"/>
      <c r="G718"/>
      <c r="H718"/>
      <c r="K718"/>
    </row>
    <row r="719" spans="6:11" x14ac:dyDescent="0.35">
      <c r="F719"/>
      <c r="G719"/>
      <c r="H719"/>
      <c r="K719"/>
    </row>
    <row r="720" spans="6:11" x14ac:dyDescent="0.35">
      <c r="F720"/>
      <c r="G720"/>
      <c r="H720"/>
      <c r="K720"/>
    </row>
    <row r="721" spans="6:11" x14ac:dyDescent="0.35">
      <c r="F721"/>
      <c r="G721"/>
      <c r="H721"/>
      <c r="K721"/>
    </row>
    <row r="722" spans="6:11" x14ac:dyDescent="0.35">
      <c r="F722"/>
      <c r="G722"/>
      <c r="H722"/>
      <c r="K722"/>
    </row>
    <row r="723" spans="6:11" x14ac:dyDescent="0.35">
      <c r="F723"/>
      <c r="G723"/>
      <c r="H723"/>
      <c r="K723"/>
    </row>
    <row r="724" spans="6:11" x14ac:dyDescent="0.35">
      <c r="F724"/>
      <c r="G724"/>
      <c r="H724"/>
      <c r="K724"/>
    </row>
    <row r="725" spans="6:11" x14ac:dyDescent="0.35">
      <c r="F725"/>
      <c r="G725"/>
      <c r="H725"/>
      <c r="K725"/>
    </row>
    <row r="726" spans="6:11" x14ac:dyDescent="0.35">
      <c r="F726"/>
      <c r="G726"/>
      <c r="H726"/>
      <c r="K726"/>
    </row>
    <row r="727" spans="6:11" x14ac:dyDescent="0.35">
      <c r="F727"/>
      <c r="G727"/>
      <c r="H727"/>
      <c r="K727"/>
    </row>
    <row r="728" spans="6:11" x14ac:dyDescent="0.35">
      <c r="F728"/>
      <c r="G728"/>
      <c r="H728"/>
      <c r="K728"/>
    </row>
    <row r="729" spans="6:11" x14ac:dyDescent="0.35">
      <c r="F729"/>
      <c r="G729"/>
      <c r="H729"/>
      <c r="K729"/>
    </row>
    <row r="730" spans="6:11" x14ac:dyDescent="0.35">
      <c r="F730"/>
      <c r="G730"/>
      <c r="H730"/>
      <c r="K730"/>
    </row>
    <row r="731" spans="6:11" x14ac:dyDescent="0.35">
      <c r="F731"/>
      <c r="G731"/>
      <c r="H731"/>
      <c r="K731"/>
    </row>
    <row r="732" spans="6:11" x14ac:dyDescent="0.35">
      <c r="F732"/>
      <c r="G732"/>
      <c r="H732"/>
      <c r="K732"/>
    </row>
    <row r="733" spans="6:11" x14ac:dyDescent="0.35">
      <c r="F733"/>
      <c r="G733"/>
      <c r="H733"/>
      <c r="K733"/>
    </row>
    <row r="734" spans="6:11" x14ac:dyDescent="0.35">
      <c r="F734"/>
      <c r="G734"/>
      <c r="H734"/>
      <c r="K734"/>
    </row>
    <row r="735" spans="6:11" x14ac:dyDescent="0.35">
      <c r="F735"/>
      <c r="G735"/>
      <c r="H735"/>
      <c r="K735"/>
    </row>
    <row r="736" spans="6:11" x14ac:dyDescent="0.35">
      <c r="F736"/>
      <c r="G736"/>
      <c r="H736"/>
      <c r="K736"/>
    </row>
    <row r="737" spans="6:11" x14ac:dyDescent="0.35">
      <c r="F737"/>
      <c r="G737"/>
      <c r="H737"/>
      <c r="K737"/>
    </row>
    <row r="738" spans="6:11" x14ac:dyDescent="0.35">
      <c r="F738"/>
      <c r="G738"/>
      <c r="H738"/>
      <c r="K738"/>
    </row>
    <row r="739" spans="6:11" x14ac:dyDescent="0.35">
      <c r="F739"/>
      <c r="G739"/>
      <c r="H739"/>
      <c r="K739"/>
    </row>
    <row r="740" spans="6:11" x14ac:dyDescent="0.35">
      <c r="F740"/>
      <c r="G740"/>
      <c r="H740"/>
      <c r="K740"/>
    </row>
    <row r="741" spans="6:11" x14ac:dyDescent="0.35">
      <c r="F741"/>
      <c r="G741"/>
      <c r="H741"/>
      <c r="K741"/>
    </row>
    <row r="742" spans="6:11" x14ac:dyDescent="0.35">
      <c r="F742"/>
      <c r="G742"/>
      <c r="H742"/>
      <c r="K742"/>
    </row>
    <row r="743" spans="6:11" x14ac:dyDescent="0.35">
      <c r="F743"/>
      <c r="G743"/>
      <c r="H743"/>
      <c r="K743"/>
    </row>
    <row r="744" spans="6:11" x14ac:dyDescent="0.35">
      <c r="F744"/>
      <c r="G744"/>
      <c r="H744"/>
      <c r="K744"/>
    </row>
    <row r="745" spans="6:11" x14ac:dyDescent="0.35">
      <c r="F745"/>
      <c r="G745"/>
      <c r="H745"/>
      <c r="K745"/>
    </row>
    <row r="746" spans="6:11" x14ac:dyDescent="0.35">
      <c r="F746"/>
      <c r="G746"/>
      <c r="H746"/>
      <c r="K746"/>
    </row>
    <row r="747" spans="6:11" x14ac:dyDescent="0.35">
      <c r="F747"/>
      <c r="G747"/>
      <c r="H747"/>
      <c r="K747"/>
    </row>
    <row r="748" spans="6:11" x14ac:dyDescent="0.35">
      <c r="F748"/>
      <c r="G748"/>
      <c r="H748"/>
      <c r="K748"/>
    </row>
    <row r="749" spans="6:11" x14ac:dyDescent="0.35">
      <c r="F749"/>
      <c r="G749"/>
      <c r="H749"/>
      <c r="K749"/>
    </row>
    <row r="750" spans="6:11" x14ac:dyDescent="0.35">
      <c r="F750"/>
      <c r="G750"/>
      <c r="H750"/>
      <c r="K750"/>
    </row>
    <row r="751" spans="6:11" x14ac:dyDescent="0.35">
      <c r="F751"/>
      <c r="G751"/>
      <c r="H751"/>
      <c r="K751"/>
    </row>
    <row r="752" spans="6:11" x14ac:dyDescent="0.35">
      <c r="F752"/>
      <c r="G752"/>
      <c r="H752"/>
      <c r="K752"/>
    </row>
    <row r="753" spans="6:11" x14ac:dyDescent="0.35">
      <c r="F753"/>
      <c r="G753"/>
      <c r="H753"/>
      <c r="K753"/>
    </row>
    <row r="754" spans="6:11" x14ac:dyDescent="0.35">
      <c r="F754"/>
      <c r="G754"/>
      <c r="H754"/>
      <c r="K754"/>
    </row>
    <row r="755" spans="6:11" x14ac:dyDescent="0.35">
      <c r="F755"/>
      <c r="G755"/>
      <c r="H755"/>
      <c r="K755"/>
    </row>
    <row r="756" spans="6:11" x14ac:dyDescent="0.35">
      <c r="F756"/>
      <c r="G756"/>
      <c r="H756"/>
      <c r="K756"/>
    </row>
    <row r="757" spans="6:11" x14ac:dyDescent="0.35">
      <c r="F757"/>
      <c r="G757"/>
      <c r="H757"/>
      <c r="K757"/>
    </row>
    <row r="758" spans="6:11" x14ac:dyDescent="0.35">
      <c r="F758"/>
      <c r="G758"/>
      <c r="H758"/>
      <c r="K758"/>
    </row>
    <row r="759" spans="6:11" x14ac:dyDescent="0.35">
      <c r="F759"/>
      <c r="G759"/>
      <c r="H759"/>
      <c r="K759"/>
    </row>
    <row r="760" spans="6:11" x14ac:dyDescent="0.35">
      <c r="F760"/>
      <c r="G760"/>
      <c r="H760"/>
      <c r="K760"/>
    </row>
    <row r="761" spans="6:11" x14ac:dyDescent="0.35">
      <c r="F761"/>
      <c r="G761"/>
      <c r="H761"/>
      <c r="K761"/>
    </row>
    <row r="762" spans="6:11" x14ac:dyDescent="0.35">
      <c r="F762"/>
      <c r="G762"/>
      <c r="H762"/>
      <c r="K762"/>
    </row>
    <row r="763" spans="6:11" x14ac:dyDescent="0.35">
      <c r="F763"/>
      <c r="G763"/>
      <c r="H763"/>
      <c r="K763"/>
    </row>
    <row r="764" spans="6:11" x14ac:dyDescent="0.35">
      <c r="F764"/>
      <c r="G764"/>
      <c r="H764"/>
      <c r="K764"/>
    </row>
    <row r="765" spans="6:11" x14ac:dyDescent="0.35">
      <c r="F765"/>
      <c r="G765"/>
      <c r="H765"/>
      <c r="K765"/>
    </row>
    <row r="766" spans="6:11" x14ac:dyDescent="0.35">
      <c r="F766"/>
      <c r="G766"/>
      <c r="H766"/>
      <c r="K766"/>
    </row>
    <row r="767" spans="6:11" x14ac:dyDescent="0.35">
      <c r="F767"/>
      <c r="G767"/>
      <c r="H767"/>
      <c r="K767"/>
    </row>
    <row r="768" spans="6:11" x14ac:dyDescent="0.35">
      <c r="F768"/>
      <c r="G768"/>
      <c r="H768"/>
      <c r="K768"/>
    </row>
    <row r="769" spans="6:11" x14ac:dyDescent="0.35">
      <c r="F769"/>
      <c r="G769"/>
      <c r="H769"/>
      <c r="K769"/>
    </row>
    <row r="770" spans="6:11" x14ac:dyDescent="0.35">
      <c r="F770"/>
      <c r="G770"/>
      <c r="H770"/>
      <c r="K770"/>
    </row>
    <row r="771" spans="6:11" x14ac:dyDescent="0.35">
      <c r="F771"/>
      <c r="G771"/>
      <c r="H771"/>
      <c r="K771"/>
    </row>
    <row r="772" spans="6:11" x14ac:dyDescent="0.35">
      <c r="F772"/>
      <c r="G772"/>
      <c r="H772"/>
      <c r="K772"/>
    </row>
    <row r="773" spans="6:11" x14ac:dyDescent="0.35">
      <c r="F773"/>
      <c r="G773"/>
      <c r="H773"/>
      <c r="K773"/>
    </row>
    <row r="774" spans="6:11" x14ac:dyDescent="0.35">
      <c r="F774"/>
      <c r="G774"/>
      <c r="H774"/>
      <c r="K774"/>
    </row>
    <row r="775" spans="6:11" x14ac:dyDescent="0.35">
      <c r="F775"/>
      <c r="G775"/>
      <c r="H775"/>
      <c r="K775"/>
    </row>
    <row r="776" spans="6:11" x14ac:dyDescent="0.35">
      <c r="F776"/>
      <c r="G776"/>
      <c r="H776"/>
      <c r="K776"/>
    </row>
    <row r="777" spans="6:11" x14ac:dyDescent="0.35">
      <c r="F777"/>
      <c r="G777"/>
      <c r="H777"/>
      <c r="K777"/>
    </row>
    <row r="778" spans="6:11" x14ac:dyDescent="0.35">
      <c r="F778"/>
      <c r="G778"/>
      <c r="H778"/>
      <c r="K778"/>
    </row>
    <row r="779" spans="6:11" x14ac:dyDescent="0.35">
      <c r="F779"/>
      <c r="G779"/>
      <c r="H779"/>
      <c r="K779"/>
    </row>
    <row r="780" spans="6:11" x14ac:dyDescent="0.35">
      <c r="F780"/>
      <c r="G780"/>
      <c r="H780"/>
      <c r="K780"/>
    </row>
    <row r="781" spans="6:11" x14ac:dyDescent="0.35">
      <c r="F781"/>
      <c r="G781"/>
      <c r="H781"/>
      <c r="K781"/>
    </row>
    <row r="782" spans="6:11" x14ac:dyDescent="0.35">
      <c r="F782"/>
      <c r="G782"/>
      <c r="H782"/>
      <c r="K782"/>
    </row>
    <row r="783" spans="6:11" x14ac:dyDescent="0.35">
      <c r="F783"/>
      <c r="G783"/>
      <c r="H783"/>
      <c r="K783"/>
    </row>
    <row r="784" spans="6:11" x14ac:dyDescent="0.35">
      <c r="F784"/>
      <c r="G784"/>
      <c r="H784"/>
      <c r="K784"/>
    </row>
    <row r="785" spans="6:11" x14ac:dyDescent="0.35">
      <c r="F785"/>
      <c r="G785"/>
      <c r="H785"/>
      <c r="K785"/>
    </row>
    <row r="786" spans="6:11" x14ac:dyDescent="0.35">
      <c r="F786"/>
      <c r="G786"/>
      <c r="H786"/>
      <c r="K786"/>
    </row>
    <row r="787" spans="6:11" x14ac:dyDescent="0.35">
      <c r="F787"/>
      <c r="G787"/>
      <c r="H787"/>
      <c r="K787"/>
    </row>
    <row r="788" spans="6:11" x14ac:dyDescent="0.35">
      <c r="F788"/>
      <c r="G788"/>
      <c r="H788"/>
      <c r="K788"/>
    </row>
    <row r="789" spans="6:11" x14ac:dyDescent="0.35">
      <c r="F789"/>
      <c r="G789"/>
      <c r="H789"/>
      <c r="K789"/>
    </row>
    <row r="790" spans="6:11" x14ac:dyDescent="0.35">
      <c r="F790"/>
      <c r="G790"/>
      <c r="H790"/>
      <c r="K790"/>
    </row>
    <row r="791" spans="6:11" x14ac:dyDescent="0.35">
      <c r="F791"/>
      <c r="G791"/>
      <c r="H791"/>
      <c r="K791"/>
    </row>
    <row r="792" spans="6:11" x14ac:dyDescent="0.35">
      <c r="F792"/>
      <c r="G792"/>
      <c r="H792"/>
      <c r="K792"/>
    </row>
    <row r="793" spans="6:11" x14ac:dyDescent="0.35">
      <c r="F793"/>
      <c r="G793"/>
      <c r="H793"/>
      <c r="K793"/>
    </row>
    <row r="794" spans="6:11" x14ac:dyDescent="0.35">
      <c r="F794"/>
      <c r="G794"/>
      <c r="H794"/>
      <c r="K794"/>
    </row>
    <row r="795" spans="6:11" x14ac:dyDescent="0.35">
      <c r="F795"/>
      <c r="G795"/>
      <c r="H795"/>
      <c r="K795"/>
    </row>
    <row r="796" spans="6:11" x14ac:dyDescent="0.35">
      <c r="F796"/>
      <c r="G796"/>
      <c r="H796"/>
      <c r="K796"/>
    </row>
    <row r="797" spans="6:11" x14ac:dyDescent="0.35">
      <c r="F797"/>
      <c r="G797"/>
      <c r="H797"/>
      <c r="K797"/>
    </row>
    <row r="798" spans="6:11" x14ac:dyDescent="0.35">
      <c r="F798"/>
      <c r="G798"/>
      <c r="H798"/>
      <c r="K798"/>
    </row>
    <row r="799" spans="6:11" x14ac:dyDescent="0.35">
      <c r="F799"/>
      <c r="G799"/>
      <c r="H799"/>
      <c r="K799"/>
    </row>
    <row r="800" spans="6:11" x14ac:dyDescent="0.35">
      <c r="F800"/>
      <c r="G800"/>
      <c r="H800"/>
      <c r="K800"/>
    </row>
    <row r="801" spans="6:11" x14ac:dyDescent="0.35">
      <c r="F801"/>
      <c r="G801"/>
      <c r="H801"/>
      <c r="K801"/>
    </row>
    <row r="802" spans="6:11" x14ac:dyDescent="0.35">
      <c r="F802"/>
      <c r="G802"/>
      <c r="H802"/>
      <c r="K802"/>
    </row>
    <row r="803" spans="6:11" x14ac:dyDescent="0.35">
      <c r="F803"/>
      <c r="G803"/>
      <c r="H803"/>
      <c r="K803"/>
    </row>
    <row r="804" spans="6:11" x14ac:dyDescent="0.35">
      <c r="F804"/>
      <c r="G804"/>
      <c r="H804"/>
      <c r="K804"/>
    </row>
    <row r="805" spans="6:11" x14ac:dyDescent="0.35">
      <c r="F805"/>
      <c r="G805"/>
      <c r="H805"/>
      <c r="K805"/>
    </row>
    <row r="806" spans="6:11" x14ac:dyDescent="0.35">
      <c r="F806"/>
      <c r="G806"/>
      <c r="H806"/>
      <c r="K806"/>
    </row>
    <row r="807" spans="6:11" x14ac:dyDescent="0.35">
      <c r="F807"/>
      <c r="G807"/>
      <c r="H807"/>
      <c r="K807"/>
    </row>
    <row r="808" spans="6:11" x14ac:dyDescent="0.35">
      <c r="F808"/>
      <c r="G808"/>
      <c r="H808"/>
      <c r="K808"/>
    </row>
    <row r="809" spans="6:11" x14ac:dyDescent="0.35">
      <c r="F809"/>
      <c r="G809"/>
      <c r="H809"/>
      <c r="K809"/>
    </row>
    <row r="810" spans="6:11" x14ac:dyDescent="0.35">
      <c r="F810"/>
      <c r="G810"/>
      <c r="H810"/>
      <c r="K810"/>
    </row>
    <row r="811" spans="6:11" x14ac:dyDescent="0.35">
      <c r="F811"/>
      <c r="G811"/>
      <c r="H811"/>
      <c r="K811"/>
    </row>
    <row r="812" spans="6:11" x14ac:dyDescent="0.35">
      <c r="F812"/>
      <c r="G812"/>
      <c r="H812"/>
      <c r="K812"/>
    </row>
    <row r="813" spans="6:11" x14ac:dyDescent="0.35">
      <c r="F813"/>
      <c r="G813"/>
      <c r="H813"/>
      <c r="K813"/>
    </row>
    <row r="814" spans="6:11" x14ac:dyDescent="0.35">
      <c r="F814"/>
      <c r="G814"/>
      <c r="H814"/>
      <c r="K814"/>
    </row>
    <row r="815" spans="6:11" x14ac:dyDescent="0.35">
      <c r="F815"/>
      <c r="G815"/>
      <c r="H815"/>
      <c r="K815"/>
    </row>
    <row r="816" spans="6:11" x14ac:dyDescent="0.35">
      <c r="F816"/>
      <c r="G816"/>
      <c r="H816"/>
      <c r="K816"/>
    </row>
    <row r="817" spans="6:11" x14ac:dyDescent="0.35">
      <c r="F817"/>
      <c r="G817"/>
      <c r="H817"/>
      <c r="K817"/>
    </row>
    <row r="818" spans="6:11" x14ac:dyDescent="0.35">
      <c r="F818"/>
      <c r="G818"/>
      <c r="H818"/>
      <c r="K818"/>
    </row>
    <row r="819" spans="6:11" x14ac:dyDescent="0.35">
      <c r="F819"/>
      <c r="G819"/>
      <c r="H819"/>
      <c r="K819"/>
    </row>
    <row r="820" spans="6:11" x14ac:dyDescent="0.35">
      <c r="F820"/>
      <c r="G820"/>
      <c r="H820"/>
      <c r="K820"/>
    </row>
    <row r="821" spans="6:11" x14ac:dyDescent="0.35">
      <c r="F821"/>
      <c r="G821"/>
      <c r="H821"/>
      <c r="K821"/>
    </row>
    <row r="822" spans="6:11" x14ac:dyDescent="0.35">
      <c r="F822"/>
      <c r="G822"/>
      <c r="H822"/>
      <c r="K822"/>
    </row>
    <row r="823" spans="6:11" x14ac:dyDescent="0.35">
      <c r="F823"/>
      <c r="G823"/>
      <c r="H823"/>
      <c r="K823"/>
    </row>
    <row r="824" spans="6:11" x14ac:dyDescent="0.35">
      <c r="F824"/>
      <c r="G824"/>
      <c r="H824"/>
      <c r="K824"/>
    </row>
    <row r="825" spans="6:11" x14ac:dyDescent="0.35">
      <c r="F825"/>
      <c r="G825"/>
      <c r="H825"/>
      <c r="K825"/>
    </row>
    <row r="826" spans="6:11" x14ac:dyDescent="0.35">
      <c r="F826"/>
      <c r="G826"/>
      <c r="H826"/>
      <c r="K826"/>
    </row>
    <row r="827" spans="6:11" x14ac:dyDescent="0.35">
      <c r="F827"/>
      <c r="G827"/>
      <c r="H827"/>
      <c r="K827"/>
    </row>
    <row r="828" spans="6:11" x14ac:dyDescent="0.35">
      <c r="F828"/>
      <c r="G828"/>
      <c r="H828"/>
      <c r="K828"/>
    </row>
    <row r="829" spans="6:11" x14ac:dyDescent="0.35">
      <c r="F829"/>
      <c r="G829"/>
      <c r="H829"/>
      <c r="K829"/>
    </row>
    <row r="830" spans="6:11" x14ac:dyDescent="0.35">
      <c r="F830"/>
      <c r="G830"/>
      <c r="H830"/>
      <c r="K830"/>
    </row>
    <row r="831" spans="6:11" x14ac:dyDescent="0.35">
      <c r="F831"/>
      <c r="G831"/>
      <c r="H831"/>
      <c r="K831"/>
    </row>
    <row r="832" spans="6:11" x14ac:dyDescent="0.35">
      <c r="F832"/>
      <c r="G832"/>
      <c r="H832"/>
      <c r="K832"/>
    </row>
    <row r="833" spans="6:11" x14ac:dyDescent="0.35">
      <c r="F833"/>
      <c r="G833"/>
      <c r="H833"/>
      <c r="K833"/>
    </row>
    <row r="834" spans="6:11" x14ac:dyDescent="0.35">
      <c r="F834"/>
      <c r="G834"/>
      <c r="H834"/>
      <c r="K834"/>
    </row>
    <row r="835" spans="6:11" x14ac:dyDescent="0.35">
      <c r="F835"/>
      <c r="G835"/>
      <c r="H835"/>
      <c r="K835"/>
    </row>
    <row r="836" spans="6:11" x14ac:dyDescent="0.35">
      <c r="F836"/>
      <c r="G836"/>
      <c r="H836"/>
      <c r="K836"/>
    </row>
    <row r="837" spans="6:11" x14ac:dyDescent="0.35">
      <c r="F837"/>
      <c r="G837"/>
      <c r="H837"/>
      <c r="K837"/>
    </row>
    <row r="838" spans="6:11" x14ac:dyDescent="0.35">
      <c r="F838"/>
      <c r="G838"/>
      <c r="H838"/>
      <c r="K838"/>
    </row>
    <row r="839" spans="6:11" x14ac:dyDescent="0.35">
      <c r="F839"/>
      <c r="G839"/>
      <c r="H839"/>
      <c r="K839"/>
    </row>
    <row r="840" spans="6:11" x14ac:dyDescent="0.35">
      <c r="F840"/>
      <c r="G840"/>
      <c r="H840"/>
      <c r="K840"/>
    </row>
    <row r="841" spans="6:11" x14ac:dyDescent="0.35">
      <c r="F841"/>
      <c r="G841"/>
      <c r="H841"/>
      <c r="K841"/>
    </row>
    <row r="842" spans="6:11" x14ac:dyDescent="0.35">
      <c r="F842"/>
      <c r="G842"/>
      <c r="H842"/>
      <c r="K842"/>
    </row>
    <row r="843" spans="6:11" x14ac:dyDescent="0.35">
      <c r="F843"/>
      <c r="G843"/>
      <c r="H843"/>
      <c r="K843"/>
    </row>
    <row r="844" spans="6:11" x14ac:dyDescent="0.35">
      <c r="F844"/>
      <c r="G844"/>
      <c r="H844"/>
      <c r="K844"/>
    </row>
    <row r="845" spans="6:11" x14ac:dyDescent="0.35">
      <c r="F845"/>
      <c r="G845"/>
      <c r="H845"/>
      <c r="K845"/>
    </row>
    <row r="846" spans="6:11" x14ac:dyDescent="0.35">
      <c r="F846"/>
      <c r="G846"/>
      <c r="H846"/>
      <c r="K846"/>
    </row>
    <row r="847" spans="6:11" x14ac:dyDescent="0.35">
      <c r="F847"/>
      <c r="G847"/>
      <c r="H847"/>
      <c r="K847"/>
    </row>
    <row r="848" spans="6:11" x14ac:dyDescent="0.35">
      <c r="F848"/>
      <c r="G848"/>
      <c r="H848"/>
      <c r="K848"/>
    </row>
    <row r="849" spans="6:11" x14ac:dyDescent="0.35">
      <c r="F849"/>
      <c r="G849"/>
      <c r="H849"/>
      <c r="K849"/>
    </row>
    <row r="850" spans="6:11" x14ac:dyDescent="0.35">
      <c r="F850"/>
      <c r="G850"/>
      <c r="H850"/>
      <c r="K850"/>
    </row>
    <row r="851" spans="6:11" x14ac:dyDescent="0.35">
      <c r="F851"/>
      <c r="G851"/>
      <c r="H851"/>
      <c r="K851"/>
    </row>
    <row r="852" spans="6:11" x14ac:dyDescent="0.35">
      <c r="F852"/>
      <c r="G852"/>
      <c r="H852"/>
      <c r="K852"/>
    </row>
    <row r="853" spans="6:11" x14ac:dyDescent="0.35">
      <c r="F853"/>
      <c r="G853"/>
      <c r="H853"/>
      <c r="K853"/>
    </row>
    <row r="854" spans="6:11" x14ac:dyDescent="0.35">
      <c r="F854"/>
      <c r="G854"/>
      <c r="H854"/>
      <c r="K854"/>
    </row>
    <row r="855" spans="6:11" x14ac:dyDescent="0.35">
      <c r="F855"/>
      <c r="G855"/>
      <c r="H855"/>
      <c r="K855"/>
    </row>
    <row r="856" spans="6:11" x14ac:dyDescent="0.35">
      <c r="F856"/>
      <c r="G856"/>
      <c r="H856"/>
      <c r="K856"/>
    </row>
    <row r="857" spans="6:11" x14ac:dyDescent="0.35">
      <c r="F857"/>
      <c r="G857"/>
      <c r="H857"/>
      <c r="K857"/>
    </row>
    <row r="858" spans="6:11" x14ac:dyDescent="0.35">
      <c r="F858"/>
      <c r="G858"/>
      <c r="H858"/>
      <c r="K858"/>
    </row>
    <row r="859" spans="6:11" x14ac:dyDescent="0.35">
      <c r="F859"/>
      <c r="G859"/>
      <c r="H859"/>
      <c r="K859"/>
    </row>
    <row r="860" spans="6:11" x14ac:dyDescent="0.35">
      <c r="F860"/>
      <c r="G860"/>
      <c r="H860"/>
      <c r="K860"/>
    </row>
    <row r="861" spans="6:11" x14ac:dyDescent="0.35">
      <c r="F861"/>
      <c r="G861"/>
      <c r="H861"/>
      <c r="K861"/>
    </row>
    <row r="862" spans="6:11" x14ac:dyDescent="0.35">
      <c r="F862"/>
      <c r="G862"/>
      <c r="H862"/>
      <c r="K862"/>
    </row>
    <row r="863" spans="6:11" x14ac:dyDescent="0.35">
      <c r="F863"/>
      <c r="G863"/>
      <c r="H863"/>
      <c r="K863"/>
    </row>
    <row r="864" spans="6:11" x14ac:dyDescent="0.35">
      <c r="F864"/>
      <c r="G864"/>
      <c r="H864"/>
      <c r="K864"/>
    </row>
    <row r="865" spans="6:11" x14ac:dyDescent="0.35">
      <c r="F865"/>
      <c r="G865"/>
      <c r="H865"/>
      <c r="K865"/>
    </row>
    <row r="866" spans="6:11" x14ac:dyDescent="0.35">
      <c r="F866"/>
      <c r="G866"/>
      <c r="H866"/>
      <c r="K866"/>
    </row>
    <row r="867" spans="6:11" x14ac:dyDescent="0.35">
      <c r="F867"/>
      <c r="G867"/>
      <c r="H867"/>
      <c r="K867"/>
    </row>
    <row r="868" spans="6:11" x14ac:dyDescent="0.35">
      <c r="F868"/>
      <c r="G868"/>
      <c r="H868"/>
      <c r="K868"/>
    </row>
    <row r="869" spans="6:11" x14ac:dyDescent="0.35">
      <c r="F869"/>
      <c r="G869"/>
      <c r="H869"/>
      <c r="K869"/>
    </row>
    <row r="870" spans="6:11" x14ac:dyDescent="0.35">
      <c r="F870"/>
      <c r="G870"/>
      <c r="H870"/>
      <c r="K870"/>
    </row>
    <row r="871" spans="6:11" x14ac:dyDescent="0.35">
      <c r="F871"/>
      <c r="G871"/>
      <c r="H871"/>
      <c r="K871"/>
    </row>
    <row r="872" spans="6:11" x14ac:dyDescent="0.35">
      <c r="F872"/>
      <c r="G872"/>
      <c r="H872"/>
      <c r="K872"/>
    </row>
    <row r="873" spans="6:11" x14ac:dyDescent="0.35">
      <c r="F873"/>
      <c r="G873"/>
      <c r="H873"/>
      <c r="K873"/>
    </row>
    <row r="874" spans="6:11" x14ac:dyDescent="0.35">
      <c r="F874"/>
      <c r="G874"/>
      <c r="H874"/>
      <c r="K874"/>
    </row>
    <row r="875" spans="6:11" x14ac:dyDescent="0.35">
      <c r="F875"/>
      <c r="G875"/>
      <c r="H875"/>
      <c r="K875"/>
    </row>
    <row r="876" spans="6:11" x14ac:dyDescent="0.35">
      <c r="F876"/>
      <c r="G876"/>
      <c r="H876"/>
      <c r="K876"/>
    </row>
    <row r="877" spans="6:11" x14ac:dyDescent="0.35">
      <c r="F877"/>
      <c r="G877"/>
      <c r="H877"/>
      <c r="K877"/>
    </row>
    <row r="878" spans="6:11" x14ac:dyDescent="0.35">
      <c r="F878"/>
      <c r="G878"/>
      <c r="H878"/>
      <c r="K878"/>
    </row>
    <row r="879" spans="6:11" x14ac:dyDescent="0.35">
      <c r="F879"/>
      <c r="G879"/>
      <c r="H879"/>
      <c r="K879"/>
    </row>
    <row r="880" spans="6:11" x14ac:dyDescent="0.35">
      <c r="F880"/>
      <c r="G880"/>
      <c r="H880"/>
      <c r="K880"/>
    </row>
    <row r="881" spans="6:11" x14ac:dyDescent="0.35">
      <c r="F881"/>
      <c r="G881"/>
      <c r="H881"/>
      <c r="K881"/>
    </row>
    <row r="882" spans="6:11" x14ac:dyDescent="0.35">
      <c r="F882"/>
      <c r="G882"/>
      <c r="H882"/>
      <c r="K882"/>
    </row>
    <row r="883" spans="6:11" x14ac:dyDescent="0.35">
      <c r="F883"/>
      <c r="G883"/>
      <c r="H883"/>
      <c r="K883"/>
    </row>
    <row r="884" spans="6:11" x14ac:dyDescent="0.35">
      <c r="F884"/>
      <c r="G884"/>
      <c r="H884"/>
      <c r="K884"/>
    </row>
    <row r="885" spans="6:11" x14ac:dyDescent="0.35">
      <c r="F885"/>
      <c r="G885"/>
      <c r="H885"/>
      <c r="K885"/>
    </row>
    <row r="886" spans="6:11" x14ac:dyDescent="0.35">
      <c r="F886"/>
      <c r="G886"/>
      <c r="H886"/>
      <c r="K886"/>
    </row>
    <row r="887" spans="6:11" x14ac:dyDescent="0.35">
      <c r="F887"/>
      <c r="G887"/>
      <c r="H887"/>
      <c r="K887"/>
    </row>
    <row r="888" spans="6:11" x14ac:dyDescent="0.35">
      <c r="F888"/>
      <c r="G888"/>
      <c r="H888"/>
      <c r="K888"/>
    </row>
    <row r="889" spans="6:11" x14ac:dyDescent="0.35">
      <c r="F889"/>
      <c r="G889"/>
      <c r="H889"/>
      <c r="K889"/>
    </row>
    <row r="890" spans="6:11" x14ac:dyDescent="0.35">
      <c r="F890"/>
      <c r="G890"/>
      <c r="H890"/>
      <c r="K890"/>
    </row>
    <row r="891" spans="6:11" x14ac:dyDescent="0.35">
      <c r="F891"/>
      <c r="G891"/>
      <c r="H891"/>
      <c r="K891"/>
    </row>
    <row r="892" spans="6:11" x14ac:dyDescent="0.35">
      <c r="F892"/>
      <c r="G892"/>
      <c r="H892"/>
      <c r="K892"/>
    </row>
    <row r="893" spans="6:11" x14ac:dyDescent="0.35">
      <c r="F893"/>
      <c r="G893"/>
      <c r="H893"/>
      <c r="K893"/>
    </row>
    <row r="894" spans="6:11" x14ac:dyDescent="0.35">
      <c r="F894"/>
      <c r="G894"/>
      <c r="H894"/>
      <c r="K894"/>
    </row>
    <row r="895" spans="6:11" x14ac:dyDescent="0.35">
      <c r="F895"/>
      <c r="G895"/>
      <c r="H895"/>
      <c r="K895"/>
    </row>
    <row r="896" spans="6:11" x14ac:dyDescent="0.35">
      <c r="F896"/>
      <c r="G896"/>
      <c r="H896"/>
      <c r="K896"/>
    </row>
    <row r="897" spans="6:11" x14ac:dyDescent="0.35">
      <c r="F897"/>
      <c r="G897"/>
      <c r="H897"/>
      <c r="K897"/>
    </row>
    <row r="898" spans="6:11" x14ac:dyDescent="0.35">
      <c r="F898"/>
      <c r="G898"/>
      <c r="H898"/>
      <c r="K898"/>
    </row>
    <row r="899" spans="6:11" x14ac:dyDescent="0.35">
      <c r="F899"/>
      <c r="G899"/>
      <c r="H899"/>
      <c r="K899"/>
    </row>
    <row r="900" spans="6:11" x14ac:dyDescent="0.35">
      <c r="F900"/>
      <c r="G900"/>
      <c r="H900"/>
      <c r="K900"/>
    </row>
    <row r="901" spans="6:11" x14ac:dyDescent="0.35">
      <c r="F901"/>
      <c r="G901"/>
      <c r="H901"/>
      <c r="K901"/>
    </row>
    <row r="902" spans="6:11" x14ac:dyDescent="0.35">
      <c r="F902"/>
      <c r="G902"/>
      <c r="H902"/>
      <c r="K902"/>
    </row>
    <row r="903" spans="6:11" x14ac:dyDescent="0.35">
      <c r="F903"/>
      <c r="G903"/>
      <c r="H903"/>
      <c r="K903"/>
    </row>
    <row r="904" spans="6:11" x14ac:dyDescent="0.35">
      <c r="F904"/>
      <c r="G904"/>
      <c r="H904"/>
      <c r="K904"/>
    </row>
    <row r="905" spans="6:11" x14ac:dyDescent="0.35">
      <c r="F905"/>
      <c r="G905"/>
      <c r="H905"/>
      <c r="K905"/>
    </row>
    <row r="906" spans="6:11" x14ac:dyDescent="0.35">
      <c r="F906"/>
      <c r="G906"/>
      <c r="H906"/>
      <c r="K906"/>
    </row>
    <row r="907" spans="6:11" x14ac:dyDescent="0.35">
      <c r="F907"/>
      <c r="G907"/>
      <c r="H907"/>
      <c r="K907"/>
    </row>
    <row r="908" spans="6:11" x14ac:dyDescent="0.35">
      <c r="F908"/>
      <c r="G908"/>
      <c r="H908"/>
      <c r="K908"/>
    </row>
    <row r="909" spans="6:11" x14ac:dyDescent="0.35">
      <c r="F909"/>
      <c r="G909"/>
      <c r="H909"/>
      <c r="K909"/>
    </row>
    <row r="910" spans="6:11" x14ac:dyDescent="0.35">
      <c r="F910"/>
      <c r="G910"/>
      <c r="H910"/>
      <c r="K910"/>
    </row>
    <row r="911" spans="6:11" x14ac:dyDescent="0.35">
      <c r="F911"/>
      <c r="G911"/>
      <c r="H911"/>
      <c r="K911"/>
    </row>
    <row r="912" spans="6:11" x14ac:dyDescent="0.35">
      <c r="F912"/>
      <c r="G912"/>
      <c r="H912"/>
      <c r="K912"/>
    </row>
    <row r="913" spans="6:11" x14ac:dyDescent="0.35">
      <c r="F913"/>
      <c r="G913"/>
      <c r="H913"/>
      <c r="K913"/>
    </row>
    <row r="914" spans="6:11" x14ac:dyDescent="0.35">
      <c r="F914"/>
      <c r="G914"/>
      <c r="H914"/>
      <c r="K914"/>
    </row>
    <row r="915" spans="6:11" x14ac:dyDescent="0.35">
      <c r="F915"/>
      <c r="G915"/>
      <c r="H915"/>
      <c r="K915"/>
    </row>
    <row r="916" spans="6:11" x14ac:dyDescent="0.35">
      <c r="F916"/>
      <c r="G916"/>
      <c r="H916"/>
      <c r="K916"/>
    </row>
    <row r="917" spans="6:11" x14ac:dyDescent="0.35">
      <c r="F917"/>
      <c r="G917"/>
      <c r="H917"/>
      <c r="K917"/>
    </row>
    <row r="918" spans="6:11" x14ac:dyDescent="0.35">
      <c r="F918"/>
      <c r="G918"/>
      <c r="H918"/>
      <c r="K918"/>
    </row>
    <row r="919" spans="6:11" x14ac:dyDescent="0.35">
      <c r="F919"/>
      <c r="G919"/>
      <c r="H919"/>
      <c r="K919"/>
    </row>
    <row r="920" spans="6:11" x14ac:dyDescent="0.35">
      <c r="F920"/>
      <c r="G920"/>
      <c r="H920"/>
      <c r="K920"/>
    </row>
    <row r="921" spans="6:11" x14ac:dyDescent="0.35">
      <c r="F921"/>
      <c r="G921"/>
      <c r="H921"/>
      <c r="K921"/>
    </row>
    <row r="922" spans="6:11" x14ac:dyDescent="0.35">
      <c r="F922"/>
      <c r="G922"/>
      <c r="H922"/>
      <c r="K922"/>
    </row>
    <row r="923" spans="6:11" x14ac:dyDescent="0.35">
      <c r="F923"/>
      <c r="G923"/>
      <c r="H923"/>
      <c r="K923"/>
    </row>
    <row r="924" spans="6:11" x14ac:dyDescent="0.35">
      <c r="F924"/>
      <c r="G924"/>
      <c r="H924"/>
      <c r="K924"/>
    </row>
    <row r="925" spans="6:11" x14ac:dyDescent="0.35">
      <c r="F925"/>
      <c r="G925"/>
      <c r="H925"/>
      <c r="K925"/>
    </row>
    <row r="926" spans="6:11" x14ac:dyDescent="0.35">
      <c r="F926"/>
      <c r="G926"/>
      <c r="H926"/>
      <c r="K926"/>
    </row>
    <row r="927" spans="6:11" x14ac:dyDescent="0.35">
      <c r="F927"/>
      <c r="G927"/>
      <c r="H927"/>
      <c r="K927"/>
    </row>
    <row r="928" spans="6:11" x14ac:dyDescent="0.35">
      <c r="F928"/>
      <c r="G928"/>
      <c r="H928"/>
      <c r="K928"/>
    </row>
    <row r="929" spans="6:11" x14ac:dyDescent="0.35">
      <c r="F929"/>
      <c r="G929"/>
      <c r="H929"/>
      <c r="K929"/>
    </row>
    <row r="930" spans="6:11" x14ac:dyDescent="0.35">
      <c r="F930"/>
      <c r="G930"/>
      <c r="H930"/>
      <c r="K930"/>
    </row>
    <row r="931" spans="6:11" x14ac:dyDescent="0.35">
      <c r="F931"/>
      <c r="G931"/>
      <c r="H931"/>
      <c r="K931"/>
    </row>
    <row r="932" spans="6:11" x14ac:dyDescent="0.35">
      <c r="F932"/>
      <c r="G932"/>
      <c r="H932"/>
      <c r="K932"/>
    </row>
    <row r="933" spans="6:11" x14ac:dyDescent="0.35">
      <c r="F933"/>
      <c r="G933"/>
      <c r="H933"/>
      <c r="K933"/>
    </row>
    <row r="934" spans="6:11" x14ac:dyDescent="0.35">
      <c r="F934"/>
      <c r="G934"/>
      <c r="H934"/>
      <c r="K934"/>
    </row>
    <row r="935" spans="6:11" x14ac:dyDescent="0.35">
      <c r="F935"/>
      <c r="G935"/>
      <c r="H935"/>
      <c r="K935"/>
    </row>
    <row r="936" spans="6:11" x14ac:dyDescent="0.35">
      <c r="F936"/>
      <c r="G936"/>
      <c r="H936"/>
      <c r="K936"/>
    </row>
    <row r="937" spans="6:11" x14ac:dyDescent="0.35">
      <c r="F937"/>
      <c r="G937"/>
      <c r="H937"/>
      <c r="K937"/>
    </row>
    <row r="938" spans="6:11" x14ac:dyDescent="0.35">
      <c r="F938"/>
      <c r="G938"/>
      <c r="H938"/>
      <c r="K938"/>
    </row>
    <row r="939" spans="6:11" x14ac:dyDescent="0.35">
      <c r="F939"/>
      <c r="G939"/>
      <c r="H939"/>
      <c r="K939"/>
    </row>
    <row r="940" spans="6:11" x14ac:dyDescent="0.35">
      <c r="F940"/>
      <c r="G940"/>
      <c r="H940"/>
      <c r="K940"/>
    </row>
    <row r="941" spans="6:11" x14ac:dyDescent="0.35">
      <c r="F941"/>
      <c r="G941"/>
      <c r="H941"/>
      <c r="K941"/>
    </row>
    <row r="942" spans="6:11" x14ac:dyDescent="0.35">
      <c r="F942"/>
      <c r="G942"/>
      <c r="H942"/>
      <c r="K942"/>
    </row>
    <row r="943" spans="6:11" x14ac:dyDescent="0.35">
      <c r="F943"/>
      <c r="G943"/>
      <c r="H943"/>
      <c r="K943"/>
    </row>
    <row r="944" spans="6:11" x14ac:dyDescent="0.35">
      <c r="F944"/>
      <c r="G944"/>
      <c r="H944"/>
      <c r="K944"/>
    </row>
    <row r="945" spans="6:11" x14ac:dyDescent="0.35">
      <c r="F945"/>
      <c r="G945"/>
      <c r="H945"/>
      <c r="K945"/>
    </row>
    <row r="946" spans="6:11" x14ac:dyDescent="0.35">
      <c r="F946"/>
      <c r="G946"/>
      <c r="H946"/>
      <c r="K946"/>
    </row>
    <row r="947" spans="6:11" x14ac:dyDescent="0.35">
      <c r="F947"/>
      <c r="G947"/>
      <c r="H947"/>
      <c r="K947"/>
    </row>
    <row r="948" spans="6:11" x14ac:dyDescent="0.35">
      <c r="F948"/>
      <c r="G948"/>
      <c r="H948"/>
      <c r="K948"/>
    </row>
    <row r="949" spans="6:11" x14ac:dyDescent="0.35">
      <c r="F949"/>
      <c r="G949"/>
      <c r="H949"/>
      <c r="K949"/>
    </row>
    <row r="950" spans="6:11" x14ac:dyDescent="0.35">
      <c r="F950"/>
      <c r="G950"/>
      <c r="H950"/>
      <c r="K950"/>
    </row>
    <row r="951" spans="6:11" x14ac:dyDescent="0.35">
      <c r="F951"/>
      <c r="G951"/>
      <c r="H951"/>
      <c r="K951"/>
    </row>
    <row r="952" spans="6:11" x14ac:dyDescent="0.35">
      <c r="F952"/>
      <c r="G952"/>
      <c r="H952"/>
      <c r="K952"/>
    </row>
    <row r="953" spans="6:11" x14ac:dyDescent="0.35">
      <c r="F953"/>
      <c r="G953"/>
      <c r="H953"/>
      <c r="K953"/>
    </row>
    <row r="954" spans="6:11" x14ac:dyDescent="0.35">
      <c r="F954"/>
      <c r="G954"/>
      <c r="H954"/>
      <c r="K954"/>
    </row>
    <row r="955" spans="6:11" x14ac:dyDescent="0.35">
      <c r="F955"/>
      <c r="G955"/>
      <c r="H955"/>
      <c r="K955"/>
    </row>
    <row r="956" spans="6:11" x14ac:dyDescent="0.35">
      <c r="F956"/>
      <c r="G956"/>
      <c r="H956"/>
      <c r="K956"/>
    </row>
    <row r="957" spans="6:11" x14ac:dyDescent="0.35">
      <c r="F957"/>
      <c r="G957"/>
      <c r="H957"/>
      <c r="K957"/>
    </row>
    <row r="958" spans="6:11" x14ac:dyDescent="0.35">
      <c r="F958"/>
      <c r="G958"/>
      <c r="H958"/>
      <c r="K958"/>
    </row>
    <row r="959" spans="6:11" x14ac:dyDescent="0.35">
      <c r="F959"/>
      <c r="G959"/>
      <c r="H959"/>
      <c r="K959"/>
    </row>
    <row r="960" spans="6:11" x14ac:dyDescent="0.35">
      <c r="F960"/>
      <c r="G960"/>
      <c r="H960"/>
      <c r="K960"/>
    </row>
    <row r="961" spans="6:11" x14ac:dyDescent="0.35">
      <c r="F961"/>
      <c r="G961"/>
      <c r="H961"/>
      <c r="K961"/>
    </row>
    <row r="962" spans="6:11" x14ac:dyDescent="0.35">
      <c r="F962"/>
      <c r="G962"/>
      <c r="H962"/>
      <c r="K962"/>
    </row>
    <row r="963" spans="6:11" x14ac:dyDescent="0.35">
      <c r="F963"/>
      <c r="G963"/>
      <c r="H963"/>
      <c r="K963"/>
    </row>
    <row r="964" spans="6:11" x14ac:dyDescent="0.35">
      <c r="F964"/>
      <c r="G964"/>
      <c r="H964"/>
      <c r="K964"/>
    </row>
    <row r="965" spans="6:11" x14ac:dyDescent="0.35">
      <c r="F965"/>
      <c r="G965"/>
      <c r="H965"/>
      <c r="K965"/>
    </row>
    <row r="966" spans="6:11" x14ac:dyDescent="0.35">
      <c r="F966"/>
      <c r="G966"/>
      <c r="H966"/>
      <c r="K966"/>
    </row>
    <row r="967" spans="6:11" x14ac:dyDescent="0.35">
      <c r="F967"/>
      <c r="G967"/>
      <c r="H967"/>
      <c r="K967"/>
    </row>
    <row r="968" spans="6:11" x14ac:dyDescent="0.35">
      <c r="F968"/>
      <c r="G968"/>
      <c r="H968"/>
      <c r="K968"/>
    </row>
    <row r="969" spans="6:11" x14ac:dyDescent="0.35">
      <c r="F969"/>
      <c r="G969"/>
      <c r="H969"/>
      <c r="K969"/>
    </row>
    <row r="970" spans="6:11" x14ac:dyDescent="0.35">
      <c r="F970"/>
      <c r="G970"/>
      <c r="H970"/>
      <c r="K970"/>
    </row>
    <row r="971" spans="6:11" x14ac:dyDescent="0.35">
      <c r="F971"/>
      <c r="G971"/>
      <c r="H971"/>
      <c r="K971"/>
    </row>
    <row r="972" spans="6:11" x14ac:dyDescent="0.35">
      <c r="F972"/>
      <c r="G972"/>
      <c r="H972"/>
      <c r="K972"/>
    </row>
    <row r="973" spans="6:11" x14ac:dyDescent="0.35">
      <c r="F973"/>
      <c r="G973"/>
      <c r="H973"/>
      <c r="K973"/>
    </row>
    <row r="974" spans="6:11" x14ac:dyDescent="0.35">
      <c r="F974"/>
      <c r="G974"/>
      <c r="H974"/>
      <c r="K974"/>
    </row>
    <row r="975" spans="6:11" x14ac:dyDescent="0.35">
      <c r="F975"/>
      <c r="G975"/>
      <c r="H975"/>
      <c r="K975"/>
    </row>
    <row r="976" spans="6:11" x14ac:dyDescent="0.35">
      <c r="F976"/>
      <c r="G976"/>
      <c r="H976"/>
      <c r="K976"/>
    </row>
    <row r="977" spans="6:11" x14ac:dyDescent="0.35">
      <c r="F977"/>
      <c r="G977"/>
      <c r="H977"/>
      <c r="K977"/>
    </row>
    <row r="978" spans="6:11" x14ac:dyDescent="0.35">
      <c r="F978"/>
      <c r="G978"/>
      <c r="H978"/>
      <c r="K978"/>
    </row>
    <row r="979" spans="6:11" x14ac:dyDescent="0.35">
      <c r="F979"/>
      <c r="G979"/>
      <c r="H979"/>
      <c r="K979"/>
    </row>
    <row r="980" spans="6:11" x14ac:dyDescent="0.35">
      <c r="F980"/>
      <c r="G980"/>
      <c r="H980"/>
      <c r="K980"/>
    </row>
    <row r="981" spans="6:11" x14ac:dyDescent="0.35">
      <c r="F981"/>
      <c r="G981"/>
      <c r="H981"/>
      <c r="K981"/>
    </row>
    <row r="982" spans="6:11" x14ac:dyDescent="0.35">
      <c r="F982"/>
      <c r="G982"/>
      <c r="H982"/>
      <c r="K982"/>
    </row>
    <row r="983" spans="6:11" x14ac:dyDescent="0.35">
      <c r="F983"/>
      <c r="G983"/>
      <c r="H983"/>
      <c r="K983"/>
    </row>
    <row r="984" spans="6:11" x14ac:dyDescent="0.35">
      <c r="F984"/>
      <c r="G984"/>
      <c r="H984"/>
      <c r="K984"/>
    </row>
    <row r="985" spans="6:11" x14ac:dyDescent="0.35">
      <c r="F985"/>
      <c r="G985"/>
      <c r="H985"/>
      <c r="K985"/>
    </row>
    <row r="986" spans="6:11" x14ac:dyDescent="0.35">
      <c r="F986"/>
      <c r="G986"/>
      <c r="H986"/>
      <c r="K986"/>
    </row>
    <row r="987" spans="6:11" x14ac:dyDescent="0.35">
      <c r="F987"/>
      <c r="G987"/>
      <c r="H987"/>
      <c r="K987"/>
    </row>
    <row r="988" spans="6:11" x14ac:dyDescent="0.35">
      <c r="F988"/>
      <c r="G988"/>
      <c r="H988"/>
      <c r="K988"/>
    </row>
    <row r="989" spans="6:11" x14ac:dyDescent="0.35">
      <c r="F989"/>
      <c r="G989"/>
      <c r="H989"/>
      <c r="K989"/>
    </row>
    <row r="990" spans="6:11" x14ac:dyDescent="0.35">
      <c r="F990"/>
      <c r="G990"/>
      <c r="H990"/>
      <c r="K990"/>
    </row>
    <row r="991" spans="6:11" x14ac:dyDescent="0.35">
      <c r="F991"/>
      <c r="G991"/>
      <c r="H991"/>
      <c r="K991"/>
    </row>
    <row r="992" spans="6:11" x14ac:dyDescent="0.35">
      <c r="F992"/>
      <c r="G992"/>
      <c r="H992"/>
      <c r="K992"/>
    </row>
    <row r="993" spans="6:11" x14ac:dyDescent="0.35">
      <c r="F993"/>
      <c r="G993"/>
      <c r="H993"/>
      <c r="K993"/>
    </row>
    <row r="994" spans="6:11" x14ac:dyDescent="0.35">
      <c r="F994"/>
      <c r="G994"/>
      <c r="H994"/>
      <c r="K994"/>
    </row>
    <row r="995" spans="6:11" x14ac:dyDescent="0.35">
      <c r="F995"/>
      <c r="G995"/>
      <c r="H995"/>
      <c r="K995"/>
    </row>
    <row r="996" spans="6:11" x14ac:dyDescent="0.35">
      <c r="F996"/>
      <c r="G996"/>
      <c r="H996"/>
      <c r="K996"/>
    </row>
    <row r="997" spans="6:11" x14ac:dyDescent="0.35">
      <c r="F997"/>
      <c r="G997"/>
      <c r="H997"/>
      <c r="K997"/>
    </row>
    <row r="998" spans="6:11" x14ac:dyDescent="0.35">
      <c r="F998"/>
      <c r="G998"/>
      <c r="H998"/>
      <c r="K998"/>
    </row>
    <row r="999" spans="6:11" x14ac:dyDescent="0.35">
      <c r="F999"/>
      <c r="G999"/>
      <c r="H999"/>
      <c r="K999"/>
    </row>
    <row r="1000" spans="6:11" x14ac:dyDescent="0.35">
      <c r="F1000"/>
      <c r="G1000"/>
      <c r="H1000"/>
      <c r="K1000"/>
    </row>
    <row r="1001" spans="6:11" x14ac:dyDescent="0.35">
      <c r="F1001"/>
      <c r="G1001"/>
      <c r="H1001"/>
      <c r="K1001"/>
    </row>
    <row r="1002" spans="6:11" x14ac:dyDescent="0.35">
      <c r="F1002"/>
      <c r="G1002"/>
      <c r="H1002"/>
      <c r="K1002"/>
    </row>
  </sheetData>
  <mergeCells count="1">
    <mergeCell ref="F1:H1"/>
  </mergeCells>
  <phoneticPr fontId="3" type="noConversion"/>
  <dataValidations count="2">
    <dataValidation type="list" allowBlank="1" showInputMessage="1" showErrorMessage="1" sqref="B6:B96" xr:uid="{00000000-0002-0000-0600-000000000000}">
      <formula1>Categorías</formula1>
    </dataValidation>
    <dataValidation type="list" allowBlank="1" showInputMessage="1" showErrorMessage="1" sqref="C6:C96" xr:uid="{00000000-0002-0000-0600-000001000000}">
      <formula1>INDIRECT($B6)</formula1>
    </dataValidation>
  </dataValidations>
  <pageMargins left="0.7" right="0.7" top="0.75" bottom="0.75" header="0.3" footer="0.3"/>
  <pageSetup paperSize="9" orientation="portrait" r:id="rId1"/>
  <ignoredErrors>
    <ignoredError sqref="H3:H4" unlockedFormula="1"/>
  </ignoredError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59"/>
  <sheetViews>
    <sheetView showGridLines="0" topLeftCell="C1" zoomScale="112" zoomScaleNormal="112" workbookViewId="0">
      <pane ySplit="5" topLeftCell="A6" activePane="bottomLeft" state="frozen"/>
      <selection activeCell="C32" sqref="C32"/>
      <selection pane="bottomLeft" activeCell="H13" sqref="H13"/>
    </sheetView>
  </sheetViews>
  <sheetFormatPr defaultColWidth="9.08984375" defaultRowHeight="14.5" x14ac:dyDescent="0.35"/>
  <cols>
    <col min="1" max="1" width="5.54296875" customWidth="1"/>
    <col min="2" max="2" width="23.08984375" customWidth="1"/>
    <col min="3" max="3" width="26.54296875" customWidth="1"/>
    <col min="4" max="4" width="12.6328125" style="77" customWidth="1"/>
    <col min="5" max="5" width="37" customWidth="1"/>
    <col min="6" max="8" width="17.36328125" style="3" customWidth="1"/>
    <col min="9" max="10" width="9.08984375" customWidth="1"/>
    <col min="11" max="11" width="9.08984375" style="2" customWidth="1"/>
    <col min="12" max="12" width="16.54296875" bestFit="1" customWidth="1"/>
    <col min="13" max="13" width="11.90625" bestFit="1" customWidth="1"/>
    <col min="14" max="14" width="15.54296875" bestFit="1" customWidth="1"/>
  </cols>
  <sheetData>
    <row r="1" spans="2:12" s="4" customFormat="1" ht="18.5" x14ac:dyDescent="0.45">
      <c r="B1" s="25" t="s">
        <v>34</v>
      </c>
      <c r="C1" s="25"/>
      <c r="D1" s="74"/>
      <c r="E1" s="25"/>
      <c r="F1" s="137" t="s">
        <v>18</v>
      </c>
      <c r="G1" s="137"/>
      <c r="H1" s="137"/>
      <c r="K1" s="5"/>
    </row>
    <row r="2" spans="2:12" s="6" customFormat="1" ht="15" customHeight="1" x14ac:dyDescent="0.35">
      <c r="B2" s="2"/>
      <c r="D2" s="75"/>
      <c r="E2" s="27" t="s">
        <v>59</v>
      </c>
      <c r="F2" s="28">
        <f>SUM(Abril[ARS])</f>
        <v>15165660</v>
      </c>
      <c r="G2" s="28">
        <f>SUM(Abril[USD])</f>
        <v>11843.370491293532</v>
      </c>
      <c r="H2" s="28"/>
      <c r="K2" s="8"/>
    </row>
    <row r="3" spans="2:12" s="6" customFormat="1" ht="15" customHeight="1" x14ac:dyDescent="0.35">
      <c r="B3" s="2"/>
      <c r="D3" s="75"/>
      <c r="E3" s="27" t="s">
        <v>65</v>
      </c>
      <c r="F3" s="29">
        <f>MAX(Abril[ARS])</f>
        <v>11520000</v>
      </c>
      <c r="G3" s="29">
        <f>MAX(Abril[USD])</f>
        <v>9000</v>
      </c>
      <c r="H3" s="29">
        <f>MAX(Abril[COTIZACION])</f>
        <v>1340</v>
      </c>
      <c r="K3" s="8"/>
    </row>
    <row r="4" spans="2:12" s="6" customFormat="1" ht="15" customHeight="1" x14ac:dyDescent="0.35">
      <c r="B4" s="2"/>
      <c r="D4" s="75"/>
      <c r="E4" s="27" t="s">
        <v>66</v>
      </c>
      <c r="F4" s="29">
        <f>MIN(Abril[ARS])</f>
        <v>4300</v>
      </c>
      <c r="G4" s="29">
        <f>MIN(Abril[USD])</f>
        <v>3.2089552238805972</v>
      </c>
      <c r="H4" s="29">
        <f>MIN(Abril[COTIZACION])</f>
        <v>1200</v>
      </c>
      <c r="K4" s="8"/>
    </row>
    <row r="5" spans="2:12" s="6" customFormat="1" ht="19.5" customHeight="1" x14ac:dyDescent="0.35">
      <c r="B5" s="31" t="s">
        <v>35</v>
      </c>
      <c r="C5" s="31" t="s">
        <v>36</v>
      </c>
      <c r="D5" s="76" t="s">
        <v>37</v>
      </c>
      <c r="E5" s="31" t="s">
        <v>13</v>
      </c>
      <c r="F5" s="31" t="s">
        <v>64</v>
      </c>
      <c r="G5" s="31" t="s">
        <v>63</v>
      </c>
      <c r="H5" s="31" t="s">
        <v>62</v>
      </c>
      <c r="I5" s="7"/>
      <c r="K5" s="8"/>
      <c r="L5"/>
    </row>
    <row r="6" spans="2:12" ht="15.5" x14ac:dyDescent="0.35">
      <c r="B6" s="9" t="s">
        <v>14</v>
      </c>
      <c r="C6" s="9" t="s">
        <v>72</v>
      </c>
      <c r="D6" s="1">
        <v>45720</v>
      </c>
      <c r="E6" s="9" t="s">
        <v>140</v>
      </c>
      <c r="F6" s="10">
        <v>453500</v>
      </c>
      <c r="G6" s="10">
        <f>IF(Abril[[#This Row],[COTIZACION]]="", "", Abril[[#This Row],[ARS]]/Abril[[#This Row],[COTIZACION]])</f>
        <v>377.91666666666669</v>
      </c>
      <c r="H6" s="10">
        <v>1200</v>
      </c>
    </row>
    <row r="7" spans="2:12" ht="15.5" x14ac:dyDescent="0.35">
      <c r="B7" s="9" t="s">
        <v>14</v>
      </c>
      <c r="C7" s="9" t="s">
        <v>72</v>
      </c>
      <c r="D7" s="1">
        <v>45720</v>
      </c>
      <c r="E7" s="96" t="s">
        <v>96</v>
      </c>
      <c r="F7" s="10">
        <v>7500</v>
      </c>
      <c r="G7" s="10">
        <f>IF(Abril[[#This Row],[COTIZACION]]="", "", Abril[[#This Row],[ARS]]/Abril[[#This Row],[COTIZACION]])</f>
        <v>6.25</v>
      </c>
      <c r="H7" s="98">
        <v>1200</v>
      </c>
    </row>
    <row r="8" spans="2:12" ht="15.75" customHeight="1" x14ac:dyDescent="0.35">
      <c r="B8" s="96" t="s">
        <v>14</v>
      </c>
      <c r="C8" s="96" t="s">
        <v>75</v>
      </c>
      <c r="D8" s="97" t="s">
        <v>172</v>
      </c>
      <c r="E8" s="96" t="s">
        <v>102</v>
      </c>
      <c r="F8" s="98">
        <v>122000</v>
      </c>
      <c r="G8" s="10">
        <f>IF(Abril[[#This Row],[COTIZACION]]="", "", Abril[[#This Row],[ARS]]/Abril[[#This Row],[COTIZACION]])</f>
        <v>91.044776119402982</v>
      </c>
      <c r="H8" s="10">
        <v>1340</v>
      </c>
    </row>
    <row r="9" spans="2:12" ht="15.5" x14ac:dyDescent="0.35">
      <c r="B9" s="96" t="s">
        <v>14</v>
      </c>
      <c r="C9" s="96" t="s">
        <v>4</v>
      </c>
      <c r="D9" s="1">
        <v>45720</v>
      </c>
      <c r="E9" s="96" t="s">
        <v>143</v>
      </c>
      <c r="F9" s="10">
        <v>68000</v>
      </c>
      <c r="G9" s="10">
        <f>IF(Abril[[#This Row],[COTIZACION]]="", "", Abril[[#This Row],[ARS]]/Abril[[#This Row],[COTIZACION]])</f>
        <v>56.666666666666664</v>
      </c>
      <c r="H9" s="10">
        <v>1200</v>
      </c>
    </row>
    <row r="10" spans="2:12" ht="15.5" x14ac:dyDescent="0.35">
      <c r="B10" s="9" t="s">
        <v>8</v>
      </c>
      <c r="C10" s="9" t="s">
        <v>73</v>
      </c>
      <c r="D10" s="1" t="s">
        <v>175</v>
      </c>
      <c r="E10" s="9" t="s">
        <v>142</v>
      </c>
      <c r="F10" s="111">
        <v>26000</v>
      </c>
      <c r="G10" s="10">
        <f>IF(Abril[[#This Row],[COTIZACION]]="", "", Abril[[#This Row],[ARS]]/Abril[[#This Row],[COTIZACION]])</f>
        <v>21.666666666666668</v>
      </c>
      <c r="H10" s="10">
        <v>1200</v>
      </c>
    </row>
    <row r="11" spans="2:12" ht="15.5" x14ac:dyDescent="0.35">
      <c r="B11" s="9" t="s">
        <v>8</v>
      </c>
      <c r="C11" s="9" t="s">
        <v>73</v>
      </c>
      <c r="D11" s="122"/>
      <c r="E11" s="9" t="s">
        <v>154</v>
      </c>
      <c r="F11" s="111">
        <v>26000</v>
      </c>
      <c r="G11" s="10">
        <f>IF(Abril[[#This Row],[COTIZACION]]="", "", Abril[[#This Row],[ARS]]/Abril[[#This Row],[COTIZACION]])</f>
        <v>21.666666666666668</v>
      </c>
      <c r="H11" s="98">
        <v>1200</v>
      </c>
    </row>
    <row r="12" spans="2:12" ht="15.5" x14ac:dyDescent="0.35">
      <c r="B12" s="96" t="s">
        <v>85</v>
      </c>
      <c r="C12" s="96" t="s">
        <v>97</v>
      </c>
      <c r="D12" s="97" t="s">
        <v>172</v>
      </c>
      <c r="E12" s="96" t="s">
        <v>97</v>
      </c>
      <c r="F12" s="98">
        <v>520000</v>
      </c>
      <c r="G12" s="10">
        <f>IF(Abril[[#This Row],[COTIZACION]]="", "", Abril[[#This Row],[ARS]]/Abril[[#This Row],[COTIZACION]])</f>
        <v>388.05970149253733</v>
      </c>
      <c r="H12" s="98">
        <v>1340</v>
      </c>
    </row>
    <row r="13" spans="2:12" ht="15.5" x14ac:dyDescent="0.35">
      <c r="B13" s="9" t="s">
        <v>14</v>
      </c>
      <c r="C13" s="9" t="s">
        <v>33</v>
      </c>
      <c r="D13" s="1">
        <v>45904</v>
      </c>
      <c r="E13" s="9" t="s">
        <v>168</v>
      </c>
      <c r="F13" s="10">
        <v>4300</v>
      </c>
      <c r="G13" s="10">
        <f>IF(Abril[[#This Row],[COTIZACION]]="", "", Abril[[#This Row],[ARS]]/Abril[[#This Row],[COTIZACION]])</f>
        <v>3.2089552238805972</v>
      </c>
      <c r="H13" s="98">
        <v>1340</v>
      </c>
    </row>
    <row r="14" spans="2:12" ht="15.5" x14ac:dyDescent="0.35">
      <c r="B14" s="96"/>
      <c r="C14" s="96"/>
      <c r="D14" s="100"/>
      <c r="E14" s="9"/>
      <c r="F14" s="10"/>
      <c r="G14" s="10" t="str">
        <f>IF(Abril[[#This Row],[COTIZACION]]="", "", Abril[[#This Row],[ARS]]/Abril[[#This Row],[COTIZACION]])</f>
        <v/>
      </c>
      <c r="H14" s="98"/>
    </row>
    <row r="15" spans="2:12" ht="15.5" x14ac:dyDescent="0.35">
      <c r="B15" s="96" t="s">
        <v>85</v>
      </c>
      <c r="C15" s="96" t="s">
        <v>162</v>
      </c>
      <c r="D15" s="100">
        <v>45751</v>
      </c>
      <c r="E15" s="96" t="s">
        <v>163</v>
      </c>
      <c r="F15" s="10">
        <v>11520000</v>
      </c>
      <c r="G15" s="10">
        <f>IF(Abril[[#This Row],[COTIZACION]]="", "", Abril[[#This Row],[ARS]]/Abril[[#This Row],[COTIZACION]])</f>
        <v>9000</v>
      </c>
      <c r="H15" s="98">
        <v>1280</v>
      </c>
    </row>
    <row r="16" spans="2:12" ht="15.5" x14ac:dyDescent="0.35">
      <c r="B16" s="96" t="s">
        <v>85</v>
      </c>
      <c r="C16" s="96" t="s">
        <v>162</v>
      </c>
      <c r="D16" s="100">
        <v>45751</v>
      </c>
      <c r="E16" s="9" t="s">
        <v>164</v>
      </c>
      <c r="F16" s="10">
        <v>642560</v>
      </c>
      <c r="G16" s="10">
        <f>IF(Abril[[#This Row],[COTIZACION]]="", "", Abril[[#This Row],[ARS]]/Abril[[#This Row],[COTIZACION]])</f>
        <v>502</v>
      </c>
      <c r="H16" s="98">
        <v>1280</v>
      </c>
    </row>
    <row r="17" spans="2:8" ht="15.5" x14ac:dyDescent="0.35">
      <c r="B17" s="96" t="s">
        <v>85</v>
      </c>
      <c r="C17" s="96" t="s">
        <v>162</v>
      </c>
      <c r="D17" s="100">
        <v>45751</v>
      </c>
      <c r="E17" s="9" t="s">
        <v>165</v>
      </c>
      <c r="F17" s="10">
        <v>1324800</v>
      </c>
      <c r="G17" s="10">
        <f>IF(Abril[[#This Row],[COTIZACION]]="", "", Abril[[#This Row],[ARS]]/Abril[[#This Row],[COTIZACION]])</f>
        <v>1035</v>
      </c>
      <c r="H17" s="98">
        <v>1280</v>
      </c>
    </row>
    <row r="18" spans="2:8" ht="15.5" x14ac:dyDescent="0.35">
      <c r="B18" s="96" t="s">
        <v>85</v>
      </c>
      <c r="C18" s="96" t="s">
        <v>162</v>
      </c>
      <c r="D18" s="100">
        <v>45751</v>
      </c>
      <c r="E18" s="9" t="s">
        <v>166</v>
      </c>
      <c r="F18" s="10">
        <v>80000</v>
      </c>
      <c r="G18" s="10">
        <f>IF(Abril[[#This Row],[COTIZACION]]="", "", Abril[[#This Row],[ARS]]/Abril[[#This Row],[COTIZACION]])</f>
        <v>62.5</v>
      </c>
      <c r="H18" s="98">
        <v>1280</v>
      </c>
    </row>
    <row r="19" spans="2:8" ht="15.5" x14ac:dyDescent="0.35">
      <c r="E19" s="96"/>
      <c r="F19" s="10"/>
      <c r="G19" s="10" t="str">
        <f>IF(Abril[[#This Row],[COTIZACION]]="", "", Abril[[#This Row],[ARS]]/Abril[[#This Row],[COTIZACION]])</f>
        <v/>
      </c>
      <c r="H19" s="98"/>
    </row>
    <row r="20" spans="2:8" ht="15.5" x14ac:dyDescent="0.35">
      <c r="B20" s="96" t="s">
        <v>14</v>
      </c>
      <c r="C20" s="96" t="s">
        <v>33</v>
      </c>
      <c r="D20" s="100" t="s">
        <v>169</v>
      </c>
      <c r="E20" s="96" t="s">
        <v>170</v>
      </c>
      <c r="F20" s="10">
        <v>15000</v>
      </c>
      <c r="G20" s="10">
        <f>IF(Abril[[#This Row],[COTIZACION]]="", "", Abril[[#This Row],[ARS]]/Abril[[#This Row],[COTIZACION]])</f>
        <v>11.71875</v>
      </c>
      <c r="H20" s="98">
        <v>1280</v>
      </c>
    </row>
    <row r="21" spans="2:8" ht="15.5" x14ac:dyDescent="0.35">
      <c r="B21" s="96" t="s">
        <v>14</v>
      </c>
      <c r="C21" s="96" t="s">
        <v>33</v>
      </c>
      <c r="D21" s="97" t="s">
        <v>172</v>
      </c>
      <c r="E21" s="96" t="s">
        <v>79</v>
      </c>
      <c r="F21" s="10">
        <v>50000</v>
      </c>
      <c r="G21" s="10">
        <f>IF(Abril[[#This Row],[COTIZACION]]="", "", Abril[[#This Row],[ARS]]/Abril[[#This Row],[COTIZACION]])</f>
        <v>37.313432835820898</v>
      </c>
      <c r="H21" s="98">
        <v>1340</v>
      </c>
    </row>
    <row r="22" spans="2:8" ht="15.5" x14ac:dyDescent="0.35">
      <c r="B22" s="96" t="s">
        <v>14</v>
      </c>
      <c r="C22" s="96" t="s">
        <v>33</v>
      </c>
      <c r="D22" s="97" t="s">
        <v>175</v>
      </c>
      <c r="E22" s="96" t="s">
        <v>79</v>
      </c>
      <c r="F22" s="10">
        <v>20000</v>
      </c>
      <c r="G22" s="10">
        <f>IF(Abril[[#This Row],[COTIZACION]]="", "", Abril[[#This Row],[ARS]]/Abril[[#This Row],[COTIZACION]])</f>
        <v>14.925373134328359</v>
      </c>
      <c r="H22" s="98">
        <v>1340</v>
      </c>
    </row>
    <row r="23" spans="2:8" ht="15.5" x14ac:dyDescent="0.35">
      <c r="B23" s="96"/>
      <c r="C23" s="96"/>
      <c r="D23" s="100"/>
      <c r="E23" s="96"/>
      <c r="F23" s="10"/>
      <c r="G23" s="10" t="str">
        <f>IF(Abril[[#This Row],[COTIZACION]]="", "", Abril[[#This Row],[ARS]]/Abril[[#This Row],[COTIZACION]])</f>
        <v/>
      </c>
      <c r="H23" s="98"/>
    </row>
    <row r="24" spans="2:8" ht="15.5" x14ac:dyDescent="0.35">
      <c r="B24" s="9" t="s">
        <v>14</v>
      </c>
      <c r="C24" s="9" t="s">
        <v>33</v>
      </c>
      <c r="D24" s="1">
        <v>45750</v>
      </c>
      <c r="E24" s="9" t="s">
        <v>167</v>
      </c>
      <c r="F24" s="10">
        <v>286000</v>
      </c>
      <c r="G24" s="10">
        <f>IF(Abril[[#This Row],[COTIZACION]]="", "", Abril[[#This Row],[ARS]]/Abril[[#This Row],[COTIZACION]])</f>
        <v>213.43283582089552</v>
      </c>
      <c r="H24" s="98">
        <v>1340</v>
      </c>
    </row>
    <row r="25" spans="2:8" ht="15.5" x14ac:dyDescent="0.35">
      <c r="B25" s="96"/>
      <c r="C25" s="96"/>
      <c r="D25" s="100"/>
      <c r="E25" s="96"/>
      <c r="F25" s="10"/>
      <c r="G25" s="10" t="str">
        <f>IF(Abril[[#This Row],[COTIZACION]]="", "", Abril[[#This Row],[ARS]]/Abril[[#This Row],[COTIZACION]])</f>
        <v/>
      </c>
      <c r="H25" s="98"/>
    </row>
    <row r="26" spans="2:8" ht="15.5" x14ac:dyDescent="0.35">
      <c r="B26" s="96"/>
      <c r="C26" s="96"/>
      <c r="D26" s="100"/>
      <c r="E26" s="96"/>
      <c r="F26" s="10"/>
      <c r="G26" s="10" t="str">
        <f>IF(Abril[[#This Row],[COTIZACION]]="", "", Abril[[#This Row],[ARS]]/Abril[[#This Row],[COTIZACION]])</f>
        <v/>
      </c>
      <c r="H26" s="98"/>
    </row>
    <row r="27" spans="2:8" ht="15.5" x14ac:dyDescent="0.35">
      <c r="B27" s="96"/>
      <c r="C27" s="96"/>
      <c r="D27" s="100"/>
      <c r="E27" s="96"/>
      <c r="F27" s="10"/>
      <c r="G27" s="10" t="str">
        <f>IF(Abril[[#This Row],[COTIZACION]]="", "", Abril[[#This Row],[ARS]]/Abril[[#This Row],[COTIZACION]])</f>
        <v/>
      </c>
      <c r="H27" s="98"/>
    </row>
    <row r="28" spans="2:8" ht="15.5" x14ac:dyDescent="0.35">
      <c r="B28" s="96"/>
      <c r="C28" s="96"/>
      <c r="D28" s="100"/>
      <c r="E28" s="96"/>
      <c r="F28" s="10"/>
      <c r="G28" s="10" t="str">
        <f>IF(Abril[[#This Row],[COTIZACION]]="", "", Abril[[#This Row],[ARS]]/Abril[[#This Row],[COTIZACION]])</f>
        <v/>
      </c>
      <c r="H28" s="98"/>
    </row>
    <row r="29" spans="2:8" ht="15.5" x14ac:dyDescent="0.35">
      <c r="B29" s="96"/>
      <c r="C29" s="96"/>
      <c r="D29" s="100"/>
      <c r="E29" s="96"/>
      <c r="F29" s="10"/>
      <c r="G29" s="10" t="str">
        <f>IF(Abril[[#This Row],[COTIZACION]]="", "", Abril[[#This Row],[ARS]]/Abril[[#This Row],[COTIZACION]])</f>
        <v/>
      </c>
      <c r="H29" s="98"/>
    </row>
    <row r="30" spans="2:8" ht="15.5" x14ac:dyDescent="0.35">
      <c r="B30" s="96"/>
      <c r="C30" s="96"/>
      <c r="D30" s="100"/>
      <c r="E30" s="96"/>
      <c r="F30" s="10"/>
      <c r="G30" s="10" t="str">
        <f>IF(Abril[[#This Row],[COTIZACION]]="", "", Abril[[#This Row],[ARS]]/Abril[[#This Row],[COTIZACION]])</f>
        <v/>
      </c>
      <c r="H30" s="98"/>
    </row>
    <row r="31" spans="2:8" ht="15.5" x14ac:dyDescent="0.35">
      <c r="B31" s="96"/>
      <c r="C31" s="96"/>
      <c r="D31" s="100"/>
      <c r="E31" s="96"/>
      <c r="F31" s="10"/>
      <c r="G31" s="10" t="str">
        <f>IF(Abril[[#This Row],[COTIZACION]]="", "", Abril[[#This Row],[ARS]]/Abril[[#This Row],[COTIZACION]])</f>
        <v/>
      </c>
      <c r="H31" s="98"/>
    </row>
    <row r="32" spans="2:8" ht="15.5" x14ac:dyDescent="0.35">
      <c r="B32" s="96"/>
      <c r="C32" s="96"/>
      <c r="D32" s="100"/>
      <c r="E32" s="96"/>
      <c r="F32" s="10"/>
      <c r="G32" s="10" t="str">
        <f>IF(Abril[[#This Row],[COTIZACION]]="", "", Abril[[#This Row],[ARS]]/Abril[[#This Row],[COTIZACION]])</f>
        <v/>
      </c>
      <c r="H32" s="98"/>
    </row>
    <row r="33" spans="2:8" ht="15.5" x14ac:dyDescent="0.35">
      <c r="B33" s="96"/>
      <c r="C33" s="96"/>
      <c r="D33" s="100"/>
      <c r="E33" s="96"/>
      <c r="F33" s="10"/>
      <c r="G33" s="10" t="str">
        <f>IF(Abril[[#This Row],[COTIZACION]]="", "", Abril[[#This Row],[ARS]]/Abril[[#This Row],[COTIZACION]])</f>
        <v/>
      </c>
      <c r="H33" s="98"/>
    </row>
    <row r="34" spans="2:8" ht="15.5" x14ac:dyDescent="0.35">
      <c r="B34" s="96"/>
      <c r="C34" s="96"/>
      <c r="D34" s="100"/>
      <c r="E34" s="96"/>
      <c r="F34" s="10"/>
      <c r="G34" s="10" t="str">
        <f>IF(Abril[[#This Row],[COTIZACION]]="", "", Abril[[#This Row],[ARS]]/Abril[[#This Row],[COTIZACION]])</f>
        <v/>
      </c>
      <c r="H34" s="98"/>
    </row>
    <row r="35" spans="2:8" ht="15.5" x14ac:dyDescent="0.35">
      <c r="B35" s="96"/>
      <c r="C35" s="96"/>
      <c r="D35" s="100"/>
      <c r="E35" s="96"/>
      <c r="F35" s="10"/>
      <c r="G35" s="10" t="str">
        <f>IF(Abril[[#This Row],[COTIZACION]]="", "", Abril[[#This Row],[ARS]]/Abril[[#This Row],[COTIZACION]])</f>
        <v/>
      </c>
      <c r="H35" s="98"/>
    </row>
    <row r="36" spans="2:8" ht="15.5" x14ac:dyDescent="0.35">
      <c r="B36" s="96"/>
      <c r="C36" s="96"/>
      <c r="D36" s="100"/>
      <c r="E36" s="96"/>
      <c r="F36" s="10"/>
      <c r="G36" s="10" t="str">
        <f>IF(Abril[[#This Row],[COTIZACION]]="", "", Abril[[#This Row],[ARS]]/Abril[[#This Row],[COTIZACION]])</f>
        <v/>
      </c>
      <c r="H36" s="98"/>
    </row>
    <row r="37" spans="2:8" ht="15.5" x14ac:dyDescent="0.35">
      <c r="B37" s="9"/>
      <c r="C37" s="9"/>
      <c r="D37" s="100"/>
      <c r="E37" s="9"/>
      <c r="F37" s="10"/>
      <c r="G37" s="10" t="str">
        <f>IF(Abril[[#This Row],[COTIZACION]]="", "", Abril[[#This Row],[ARS]]/Abril[[#This Row],[COTIZACION]])</f>
        <v/>
      </c>
      <c r="H37" s="10"/>
    </row>
    <row r="38" spans="2:8" ht="15.5" x14ac:dyDescent="0.35">
      <c r="B38" s="96"/>
      <c r="C38" s="96"/>
      <c r="D38" s="100"/>
      <c r="E38" s="96"/>
      <c r="F38" s="10"/>
      <c r="G38" s="10" t="str">
        <f>IF(Abril[[#This Row],[COTIZACION]]="", "", Abril[[#This Row],[ARS]]/Abril[[#This Row],[COTIZACION]])</f>
        <v/>
      </c>
      <c r="H38" s="98"/>
    </row>
    <row r="39" spans="2:8" ht="15.5" x14ac:dyDescent="0.35">
      <c r="B39" s="96"/>
      <c r="C39" s="96"/>
      <c r="D39" s="100"/>
      <c r="E39" s="96"/>
      <c r="F39" s="10"/>
      <c r="G39" s="10" t="str">
        <f>IF(Abril[[#This Row],[COTIZACION]]="", "", Abril[[#This Row],[ARS]]/Abril[[#This Row],[COTIZACION]])</f>
        <v/>
      </c>
      <c r="H39" s="98"/>
    </row>
    <row r="40" spans="2:8" ht="15.5" x14ac:dyDescent="0.35">
      <c r="B40" s="96"/>
      <c r="C40" s="96"/>
      <c r="D40" s="100"/>
      <c r="E40" s="96"/>
      <c r="F40" s="10"/>
      <c r="G40" s="10" t="str">
        <f>IF(Abril[[#This Row],[COTIZACION]]="", "", Abril[[#This Row],[ARS]]/Abril[[#This Row],[COTIZACION]])</f>
        <v/>
      </c>
      <c r="H40" s="98"/>
    </row>
    <row r="41" spans="2:8" ht="15.5" x14ac:dyDescent="0.35">
      <c r="B41" s="96"/>
      <c r="C41" s="96"/>
      <c r="D41" s="100"/>
      <c r="E41" s="96"/>
      <c r="F41" s="10"/>
      <c r="G41" s="10" t="str">
        <f>IF(Abril[[#This Row],[COTIZACION]]="", "", Abril[[#This Row],[ARS]]/Abril[[#This Row],[COTIZACION]])</f>
        <v/>
      </c>
      <c r="H41" s="98"/>
    </row>
    <row r="42" spans="2:8" ht="15.5" x14ac:dyDescent="0.35">
      <c r="B42" s="96"/>
      <c r="C42" s="96"/>
      <c r="D42" s="100"/>
      <c r="E42" s="96"/>
      <c r="F42" s="10"/>
      <c r="G42" s="10" t="str">
        <f>IF(Abril[[#This Row],[COTIZACION]]="", "", Abril[[#This Row],[ARS]]/Abril[[#This Row],[COTIZACION]])</f>
        <v/>
      </c>
      <c r="H42" s="98"/>
    </row>
    <row r="43" spans="2:8" ht="15.5" x14ac:dyDescent="0.35">
      <c r="B43" s="96"/>
      <c r="C43" s="96"/>
      <c r="D43" s="100"/>
      <c r="E43" s="96"/>
      <c r="F43" s="10"/>
      <c r="G43" s="10" t="str">
        <f>IF(Abril[[#This Row],[COTIZACION]]="", "", Abril[[#This Row],[ARS]]/Abril[[#This Row],[COTIZACION]])</f>
        <v/>
      </c>
      <c r="H43" s="98"/>
    </row>
    <row r="44" spans="2:8" ht="15.5" x14ac:dyDescent="0.35">
      <c r="B44" s="96"/>
      <c r="C44" s="96"/>
      <c r="D44" s="100"/>
      <c r="E44" s="96"/>
      <c r="F44" s="10"/>
      <c r="G44" s="10" t="str">
        <f>IF(Abril[[#This Row],[COTIZACION]]="", "", Abril[[#This Row],[ARS]]/Abril[[#This Row],[COTIZACION]])</f>
        <v/>
      </c>
      <c r="H44" s="98"/>
    </row>
    <row r="45" spans="2:8" ht="15.5" x14ac:dyDescent="0.35">
      <c r="B45" s="96"/>
      <c r="C45" s="96"/>
      <c r="D45" s="100"/>
      <c r="E45" s="96"/>
      <c r="F45" s="10"/>
      <c r="G45" s="10" t="str">
        <f>IF(Abril[[#This Row],[COTIZACION]]="", "", Abril[[#This Row],[ARS]]/Abril[[#This Row],[COTIZACION]])</f>
        <v/>
      </c>
      <c r="H45" s="98"/>
    </row>
    <row r="46" spans="2:8" ht="15.5" x14ac:dyDescent="0.35">
      <c r="B46" s="96"/>
      <c r="C46" s="96"/>
      <c r="D46" s="100"/>
      <c r="E46" s="96"/>
      <c r="F46" s="10"/>
      <c r="G46" s="10" t="str">
        <f>IF(Abril[[#This Row],[COTIZACION]]="", "", Abril[[#This Row],[ARS]]/Abril[[#This Row],[COTIZACION]])</f>
        <v/>
      </c>
      <c r="H46" s="98"/>
    </row>
    <row r="47" spans="2:8" ht="15.5" x14ac:dyDescent="0.35">
      <c r="B47" s="96"/>
      <c r="C47" s="96"/>
      <c r="D47" s="100"/>
      <c r="E47" s="96"/>
      <c r="F47" s="10"/>
      <c r="G47" s="10"/>
      <c r="H47" s="98"/>
    </row>
    <row r="48" spans="2:8" ht="15.5" x14ac:dyDescent="0.35">
      <c r="B48" s="96"/>
      <c r="C48" s="96"/>
      <c r="D48" s="100"/>
      <c r="E48" s="96"/>
      <c r="F48" s="10"/>
      <c r="G48" s="10" t="str">
        <f>IF(Abril[[#This Row],[COTIZACION]]="", "", Abril[[#This Row],[ARS]]/Abril[[#This Row],[COTIZACION]])</f>
        <v/>
      </c>
      <c r="H48" s="98"/>
    </row>
    <row r="49" spans="2:8" ht="15.5" x14ac:dyDescent="0.35">
      <c r="B49" s="96"/>
      <c r="C49" s="96"/>
      <c r="D49" s="100"/>
      <c r="E49" s="96"/>
      <c r="F49" s="10"/>
      <c r="G49" s="10" t="str">
        <f>IF(Abril[[#This Row],[COTIZACION]]="", "", Abril[[#This Row],[ARS]]/Abril[[#This Row],[COTIZACION]])</f>
        <v/>
      </c>
      <c r="H49" s="98"/>
    </row>
    <row r="50" spans="2:8" ht="15.5" x14ac:dyDescent="0.35">
      <c r="B50" s="96"/>
      <c r="C50" s="96"/>
      <c r="D50" s="100"/>
      <c r="E50" s="96"/>
      <c r="F50" s="10"/>
      <c r="G50" s="10" t="str">
        <f>IF(Abril[[#This Row],[COTIZACION]]="", "", Abril[[#This Row],[ARS]]/Abril[[#This Row],[COTIZACION]])</f>
        <v/>
      </c>
      <c r="H50" s="98"/>
    </row>
    <row r="51" spans="2:8" ht="15.5" x14ac:dyDescent="0.35">
      <c r="B51" s="96"/>
      <c r="C51" s="96"/>
      <c r="D51" s="100"/>
      <c r="E51" s="96"/>
      <c r="F51" s="10"/>
      <c r="G51" s="10" t="str">
        <f>IF(Abril[[#This Row],[COTIZACION]]="", "", Abril[[#This Row],[ARS]]/Abril[[#This Row],[COTIZACION]])</f>
        <v/>
      </c>
      <c r="H51" s="98"/>
    </row>
    <row r="52" spans="2:8" ht="15.5" x14ac:dyDescent="0.35">
      <c r="B52" s="96"/>
      <c r="C52" s="96"/>
      <c r="D52" s="100"/>
      <c r="E52" s="96"/>
      <c r="F52" s="10"/>
      <c r="G52" s="10" t="str">
        <f>IF(Abril[[#This Row],[COTIZACION]]="", "", Abril[[#This Row],[ARS]]/Abril[[#This Row],[COTIZACION]])</f>
        <v/>
      </c>
      <c r="H52" s="98"/>
    </row>
    <row r="53" spans="2:8" ht="15.5" x14ac:dyDescent="0.35">
      <c r="B53" s="96"/>
      <c r="C53" s="96"/>
      <c r="D53" s="100"/>
      <c r="E53" s="96"/>
      <c r="F53" s="10"/>
      <c r="G53" s="10" t="str">
        <f>IF(Abril[[#This Row],[COTIZACION]]="", "", Abril[[#This Row],[ARS]]/Abril[[#This Row],[COTIZACION]])</f>
        <v/>
      </c>
      <c r="H53" s="98"/>
    </row>
    <row r="54" spans="2:8" ht="15.5" x14ac:dyDescent="0.35">
      <c r="B54" s="96"/>
      <c r="C54" s="96"/>
      <c r="D54" s="100"/>
      <c r="E54" s="96"/>
      <c r="F54" s="10"/>
      <c r="G54" s="10" t="str">
        <f>IF(Abril[[#This Row],[COTIZACION]]="", "", Abril[[#This Row],[ARS]]/Abril[[#This Row],[COTIZACION]])</f>
        <v/>
      </c>
      <c r="H54" s="98"/>
    </row>
    <row r="55" spans="2:8" ht="15.5" x14ac:dyDescent="0.35">
      <c r="B55" s="96"/>
      <c r="C55" s="96"/>
      <c r="D55" s="100"/>
      <c r="E55" s="96"/>
      <c r="F55" s="10"/>
      <c r="G55" s="10" t="str">
        <f>IF(Abril[[#This Row],[COTIZACION]]="", "", Abril[[#This Row],[ARS]]/Abril[[#This Row],[COTIZACION]])</f>
        <v/>
      </c>
      <c r="H55" s="98"/>
    </row>
    <row r="56" spans="2:8" ht="15.5" x14ac:dyDescent="0.35">
      <c r="B56" s="96"/>
      <c r="C56" s="96"/>
      <c r="D56" s="100"/>
      <c r="E56" s="96"/>
      <c r="F56" s="10"/>
      <c r="G56" s="10" t="str">
        <f>IF(Abril[[#This Row],[COTIZACION]]="", "", Abril[[#This Row],[ARS]]/Abril[[#This Row],[COTIZACION]])</f>
        <v/>
      </c>
      <c r="H56" s="98"/>
    </row>
    <row r="57" spans="2:8" ht="15.5" x14ac:dyDescent="0.35">
      <c r="B57" s="96"/>
      <c r="C57" s="96"/>
      <c r="D57" s="100"/>
      <c r="E57" s="96"/>
      <c r="F57" s="10"/>
      <c r="G57" s="10" t="str">
        <f>IF(Abril[[#This Row],[COTIZACION]]="", "", Abril[[#This Row],[ARS]]/Abril[[#This Row],[COTIZACION]])</f>
        <v/>
      </c>
      <c r="H57" s="98"/>
    </row>
    <row r="58" spans="2:8" ht="15.5" x14ac:dyDescent="0.35">
      <c r="B58" s="96"/>
      <c r="C58" s="96"/>
      <c r="D58" s="100"/>
      <c r="E58" s="96"/>
      <c r="F58" s="10"/>
      <c r="G58" s="10" t="str">
        <f>IF(Abril[[#This Row],[COTIZACION]]="", "", Abril[[#This Row],[ARS]]/Abril[[#This Row],[COTIZACION]])</f>
        <v/>
      </c>
      <c r="H58" s="98"/>
    </row>
    <row r="59" spans="2:8" ht="15.5" x14ac:dyDescent="0.35">
      <c r="B59" s="9"/>
      <c r="C59" s="9"/>
      <c r="D59" s="73"/>
      <c r="E59" s="9"/>
      <c r="F59" s="10"/>
      <c r="G59" s="10" t="str">
        <f>IF(Abril[[#This Row],[COTIZACION]]="", "", Abril[[#This Row],[ARS]]/Abril[[#This Row],[COTIZACION]])</f>
        <v/>
      </c>
      <c r="H59" s="10"/>
    </row>
  </sheetData>
  <mergeCells count="1">
    <mergeCell ref="F1:H1"/>
  </mergeCells>
  <phoneticPr fontId="3" type="noConversion"/>
  <dataValidations count="2">
    <dataValidation type="list" allowBlank="1" showInputMessage="1" showErrorMessage="1" sqref="B6:B18 B20:B59" xr:uid="{00000000-0002-0000-0700-000000000000}">
      <formula1>Categorías</formula1>
    </dataValidation>
    <dataValidation type="list" allowBlank="1" showInputMessage="1" showErrorMessage="1" sqref="C6:C18 C20:C59" xr:uid="{00000000-0002-0000-0700-000001000000}">
      <formula1>INDIRECT($B6)</formula1>
    </dataValidation>
  </dataValidations>
  <pageMargins left="0.7" right="0.7" top="0.75" bottom="0.75" header="0.3" footer="0.3"/>
  <pageSetup paperSize="9" orientation="portrait" r:id="rId1"/>
  <ignoredErrors>
    <ignoredError sqref="H3:H4" unlockedFormula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100"/>
  <sheetViews>
    <sheetView showGridLines="0" zoomScale="112" zoomScaleNormal="112" workbookViewId="0">
      <pane ySplit="5" topLeftCell="A6" activePane="bottomLeft" state="frozen"/>
      <selection activeCell="C32" sqref="C32"/>
      <selection pane="bottomLeft" activeCell="H17" sqref="H17"/>
    </sheetView>
  </sheetViews>
  <sheetFormatPr defaultColWidth="9.08984375" defaultRowHeight="14.5" x14ac:dyDescent="0.35"/>
  <cols>
    <col min="1" max="1" width="5.54296875" customWidth="1"/>
    <col min="2" max="2" width="23.08984375" customWidth="1"/>
    <col min="3" max="3" width="26.54296875" customWidth="1"/>
    <col min="4" max="4" width="12.6328125" style="2" customWidth="1"/>
    <col min="5" max="5" width="37" customWidth="1"/>
    <col min="6" max="8" width="17.36328125" style="3" customWidth="1"/>
    <col min="9" max="10" width="9.08984375" customWidth="1"/>
    <col min="11" max="11" width="9.08984375" style="2" customWidth="1"/>
    <col min="12" max="12" width="16.54296875" bestFit="1" customWidth="1"/>
    <col min="13" max="13" width="11.90625" bestFit="1" customWidth="1"/>
    <col min="14" max="14" width="15.54296875" bestFit="1" customWidth="1"/>
  </cols>
  <sheetData>
    <row r="1" spans="2:12" s="4" customFormat="1" ht="18.5" x14ac:dyDescent="0.45">
      <c r="B1" s="25" t="s">
        <v>34</v>
      </c>
      <c r="C1" s="25"/>
      <c r="D1" s="25"/>
      <c r="E1" s="25"/>
      <c r="F1" s="137" t="s">
        <v>20</v>
      </c>
      <c r="G1" s="137"/>
      <c r="H1" s="137"/>
      <c r="K1" s="5"/>
    </row>
    <row r="2" spans="2:12" s="6" customFormat="1" ht="15" customHeight="1" x14ac:dyDescent="0.35">
      <c r="B2" s="2"/>
      <c r="D2" s="8"/>
      <c r="E2" s="27" t="s">
        <v>59</v>
      </c>
      <c r="F2" s="28">
        <f>SUM(Mayo[ARS])</f>
        <v>3108328</v>
      </c>
      <c r="G2" s="28">
        <f>SUM(Mayo[USD])</f>
        <v>2656.6905982905978</v>
      </c>
      <c r="H2" s="28"/>
      <c r="K2" s="8"/>
    </row>
    <row r="3" spans="2:12" s="6" customFormat="1" ht="15" customHeight="1" x14ac:dyDescent="0.35">
      <c r="B3" s="2"/>
      <c r="D3" s="8"/>
      <c r="E3" s="27" t="s">
        <v>65</v>
      </c>
      <c r="F3" s="29">
        <f>MAX(Mayo[ARS])</f>
        <v>1170000</v>
      </c>
      <c r="G3" s="29">
        <f>MAX(Mayo[USD])</f>
        <v>1000</v>
      </c>
      <c r="H3" s="29">
        <f>MAX(Mayo[COTIZACION])</f>
        <v>1170</v>
      </c>
      <c r="K3" s="8"/>
    </row>
    <row r="4" spans="2:12" s="6" customFormat="1" ht="15" customHeight="1" x14ac:dyDescent="0.35">
      <c r="B4" s="2"/>
      <c r="D4" s="8"/>
      <c r="E4" s="27" t="s">
        <v>66</v>
      </c>
      <c r="F4" s="29">
        <f>MIN(Mayo[ARS])</f>
        <v>15000</v>
      </c>
      <c r="G4" s="29">
        <f>MIN(Mayo[USD])</f>
        <v>12.820512820512821</v>
      </c>
      <c r="H4" s="29">
        <f>MIN(Mayo[COTIZACION])</f>
        <v>1170</v>
      </c>
      <c r="K4" s="8"/>
    </row>
    <row r="5" spans="2:12" s="6" customFormat="1" ht="15.5" x14ac:dyDescent="0.35">
      <c r="B5" s="30" t="s">
        <v>35</v>
      </c>
      <c r="C5" s="30" t="s">
        <v>36</v>
      </c>
      <c r="D5" s="30" t="s">
        <v>37</v>
      </c>
      <c r="E5" s="30" t="s">
        <v>13</v>
      </c>
      <c r="F5" s="30" t="s">
        <v>64</v>
      </c>
      <c r="G5" s="30" t="s">
        <v>63</v>
      </c>
      <c r="H5" s="30" t="s">
        <v>62</v>
      </c>
      <c r="I5" s="7"/>
      <c r="K5" s="8"/>
      <c r="L5"/>
    </row>
    <row r="6" spans="2:12" ht="15.75" customHeight="1" x14ac:dyDescent="0.35">
      <c r="B6" s="9" t="s">
        <v>85</v>
      </c>
      <c r="C6" s="9" t="s">
        <v>162</v>
      </c>
      <c r="D6" s="1">
        <v>45935</v>
      </c>
      <c r="E6" s="9" t="s">
        <v>178</v>
      </c>
      <c r="F6" s="10">
        <v>1170000</v>
      </c>
      <c r="G6" s="10">
        <v>1000</v>
      </c>
      <c r="H6" s="10">
        <v>1170</v>
      </c>
    </row>
    <row r="7" spans="2:12" ht="15.75" customHeight="1" x14ac:dyDescent="0.35">
      <c r="B7" s="96" t="s">
        <v>14</v>
      </c>
      <c r="C7" s="96" t="s">
        <v>72</v>
      </c>
      <c r="D7" s="97"/>
      <c r="E7" s="96" t="s">
        <v>72</v>
      </c>
      <c r="F7" s="10">
        <v>871632</v>
      </c>
      <c r="G7" s="10">
        <f>IF(Mayo[[#This Row],[COTIZACION]]="", "", Mayo[[#This Row],[ARS]]/Mayo[[#This Row],[COTIZACION]])</f>
        <v>744.98461538461538</v>
      </c>
      <c r="H7" s="98">
        <v>1170</v>
      </c>
    </row>
    <row r="8" spans="2:12" ht="15.75" customHeight="1" x14ac:dyDescent="0.35">
      <c r="B8" s="96" t="s">
        <v>14</v>
      </c>
      <c r="C8" s="96" t="s">
        <v>3</v>
      </c>
      <c r="D8" s="97"/>
      <c r="E8" s="96" t="s">
        <v>96</v>
      </c>
      <c r="F8" s="10"/>
      <c r="G8" s="10" t="str">
        <f>IF(Mayo[[#This Row],[COTIZACION]]="", "", Mayo[[#This Row],[ARS]]/Mayo[[#This Row],[COTIZACION]])</f>
        <v/>
      </c>
      <c r="H8" s="98"/>
    </row>
    <row r="9" spans="2:12" ht="15.75" customHeight="1" x14ac:dyDescent="0.35">
      <c r="B9" s="96" t="s">
        <v>14</v>
      </c>
      <c r="C9" s="96" t="s">
        <v>75</v>
      </c>
      <c r="D9" s="97"/>
      <c r="E9" s="96" t="s">
        <v>185</v>
      </c>
      <c r="F9" s="10">
        <v>126644</v>
      </c>
      <c r="G9" s="10">
        <f>IF(Mayo[[#This Row],[COTIZACION]]="", "", Mayo[[#This Row],[ARS]]/Mayo[[#This Row],[COTIZACION]])</f>
        <v>108.24273504273505</v>
      </c>
      <c r="H9" s="98">
        <v>1170</v>
      </c>
    </row>
    <row r="10" spans="2:12" ht="15.75" customHeight="1" x14ac:dyDescent="0.35">
      <c r="B10" s="96" t="s">
        <v>14</v>
      </c>
      <c r="C10" s="96" t="s">
        <v>4</v>
      </c>
      <c r="D10" s="97" t="s">
        <v>200</v>
      </c>
      <c r="E10" s="96" t="s">
        <v>143</v>
      </c>
      <c r="F10" s="10">
        <v>69712</v>
      </c>
      <c r="G10" s="10">
        <f>IF(Mayo[[#This Row],[COTIZACION]]="", "", Mayo[[#This Row],[ARS]]/Mayo[[#This Row],[COTIZACION]])</f>
        <v>59.582905982905984</v>
      </c>
      <c r="H10" s="98">
        <v>1170</v>
      </c>
    </row>
    <row r="11" spans="2:12" ht="15.75" customHeight="1" x14ac:dyDescent="0.35">
      <c r="B11" s="96" t="s">
        <v>8</v>
      </c>
      <c r="C11" s="96" t="s">
        <v>106</v>
      </c>
      <c r="D11" s="97">
        <v>45813</v>
      </c>
      <c r="E11" s="9" t="s">
        <v>187</v>
      </c>
      <c r="F11" s="10">
        <v>142740</v>
      </c>
      <c r="G11" s="10">
        <f>IF(Mayo[[#This Row],[COTIZACION]]="", "", Mayo[[#This Row],[ARS]]/Mayo[[#This Row],[COTIZACION]])</f>
        <v>122</v>
      </c>
      <c r="H11" s="98">
        <v>1170</v>
      </c>
    </row>
    <row r="12" spans="2:12" ht="15.75" customHeight="1" x14ac:dyDescent="0.35">
      <c r="B12" s="96" t="s">
        <v>14</v>
      </c>
      <c r="C12" s="96" t="s">
        <v>33</v>
      </c>
      <c r="D12" s="97">
        <v>45813</v>
      </c>
      <c r="E12" s="96" t="s">
        <v>79</v>
      </c>
      <c r="F12" s="10">
        <v>40000</v>
      </c>
      <c r="G12" s="10">
        <f>IF(Mayo[[#This Row],[COTIZACION]]="", "", Mayo[[#This Row],[ARS]]/Mayo[[#This Row],[COTIZACION]])</f>
        <v>34.188034188034187</v>
      </c>
      <c r="H12" s="98">
        <v>1170</v>
      </c>
    </row>
    <row r="13" spans="2:12" ht="15.75" customHeight="1" x14ac:dyDescent="0.35">
      <c r="B13" s="96" t="s">
        <v>14</v>
      </c>
      <c r="C13" s="96" t="s">
        <v>33</v>
      </c>
      <c r="D13" s="97" t="s">
        <v>190</v>
      </c>
      <c r="E13" s="96" t="s">
        <v>79</v>
      </c>
      <c r="F13" s="10">
        <v>40000</v>
      </c>
      <c r="G13" s="10">
        <f>IF(Mayo[[#This Row],[COTIZACION]]="", "", Mayo[[#This Row],[ARS]]/Mayo[[#This Row],[COTIZACION]])</f>
        <v>34.188034188034187</v>
      </c>
      <c r="H13" s="98">
        <v>1170</v>
      </c>
    </row>
    <row r="14" spans="2:12" ht="15.75" customHeight="1" x14ac:dyDescent="0.35">
      <c r="B14" s="96" t="s">
        <v>14</v>
      </c>
      <c r="C14" s="96" t="s">
        <v>33</v>
      </c>
      <c r="D14" s="97" t="s">
        <v>195</v>
      </c>
      <c r="E14" s="96" t="s">
        <v>196</v>
      </c>
      <c r="F14" s="10">
        <v>25000</v>
      </c>
      <c r="G14" s="10">
        <f>IF(Mayo[[#This Row],[COTIZACION]]="", "", Mayo[[#This Row],[ARS]]/Mayo[[#This Row],[COTIZACION]])</f>
        <v>21.367521367521366</v>
      </c>
      <c r="H14" s="98">
        <v>1170</v>
      </c>
    </row>
    <row r="15" spans="2:12" ht="15.75" customHeight="1" x14ac:dyDescent="0.35">
      <c r="B15" s="96"/>
      <c r="C15" s="96" t="s">
        <v>33</v>
      </c>
      <c r="D15" s="97" t="s">
        <v>197</v>
      </c>
      <c r="E15" s="96" t="s">
        <v>79</v>
      </c>
      <c r="F15" s="10">
        <v>40000</v>
      </c>
      <c r="G15" s="10">
        <f>IF(Mayo[[#This Row],[COTIZACION]]="", "", Mayo[[#This Row],[ARS]]/Mayo[[#This Row],[COTIZACION]])</f>
        <v>34.188034188034187</v>
      </c>
      <c r="H15" s="98">
        <v>1170</v>
      </c>
    </row>
    <row r="16" spans="2:12" ht="15.5" x14ac:dyDescent="0.35">
      <c r="B16" s="9"/>
      <c r="C16" s="9"/>
      <c r="D16" s="108"/>
      <c r="E16" s="9"/>
      <c r="F16" s="10"/>
      <c r="G16" s="10" t="str">
        <f>IF(Mayo[[#This Row],[COTIZACION]]="", "", Mayo[[#This Row],[ARS]]/Mayo[[#This Row],[COTIZACION]])</f>
        <v/>
      </c>
      <c r="H16" s="10"/>
    </row>
    <row r="17" spans="2:8" ht="15.5" x14ac:dyDescent="0.35">
      <c r="B17" s="96" t="s">
        <v>85</v>
      </c>
      <c r="C17" s="96" t="s">
        <v>162</v>
      </c>
      <c r="D17" s="97">
        <v>45661</v>
      </c>
      <c r="E17" s="96" t="s">
        <v>160</v>
      </c>
      <c r="F17" s="10">
        <v>89000</v>
      </c>
      <c r="G17" s="10">
        <f>IF(Mayo[[#This Row],[COTIZACION]]="", "", Mayo[[#This Row],[ARS]]/Mayo[[#This Row],[COTIZACION]])</f>
        <v>76.068376068376068</v>
      </c>
      <c r="H17" s="10">
        <v>1170</v>
      </c>
    </row>
    <row r="18" spans="2:8" ht="15.5" x14ac:dyDescent="0.35">
      <c r="B18" s="9" t="s">
        <v>14</v>
      </c>
      <c r="C18" s="9" t="s">
        <v>33</v>
      </c>
      <c r="D18" s="1">
        <v>45720</v>
      </c>
      <c r="E18" s="9" t="s">
        <v>161</v>
      </c>
      <c r="F18" s="10">
        <v>15000</v>
      </c>
      <c r="G18" s="10">
        <f>IF(Mayo[[#This Row],[COTIZACION]]="", "", Mayo[[#This Row],[ARS]]/Mayo[[#This Row],[COTIZACION]])</f>
        <v>12.820512820512821</v>
      </c>
      <c r="H18" s="10">
        <v>1170</v>
      </c>
    </row>
    <row r="19" spans="2:8" ht="15.5" x14ac:dyDescent="0.35">
      <c r="B19" s="9" t="s">
        <v>14</v>
      </c>
      <c r="C19" s="9" t="s">
        <v>67</v>
      </c>
      <c r="D19" s="1" t="s">
        <v>171</v>
      </c>
      <c r="E19" s="9" t="s">
        <v>141</v>
      </c>
      <c r="F19" s="10">
        <v>42600</v>
      </c>
      <c r="G19" s="10">
        <f>IF(Mayo[[#This Row],[COTIZACION]]="", "", Mayo[[#This Row],[ARS]]/Mayo[[#This Row],[COTIZACION]])</f>
        <v>36.410256410256409</v>
      </c>
      <c r="H19" s="10">
        <v>1170</v>
      </c>
    </row>
    <row r="20" spans="2:8" ht="15.5" x14ac:dyDescent="0.35">
      <c r="B20" s="9" t="s">
        <v>14</v>
      </c>
      <c r="C20" s="9" t="s">
        <v>33</v>
      </c>
      <c r="D20" s="1" t="s">
        <v>173</v>
      </c>
      <c r="E20" s="9" t="s">
        <v>174</v>
      </c>
      <c r="F20" s="10">
        <v>18000</v>
      </c>
      <c r="G20" s="10">
        <f>IF(Mayo[[#This Row],[COTIZACION]]="", "", Mayo[[#This Row],[ARS]]/Mayo[[#This Row],[COTIZACION]])</f>
        <v>15.384615384615385</v>
      </c>
      <c r="H20" s="10">
        <v>1170</v>
      </c>
    </row>
    <row r="21" spans="2:8" ht="15.5" x14ac:dyDescent="0.35">
      <c r="B21" s="96" t="s">
        <v>6</v>
      </c>
      <c r="C21" s="96" t="s">
        <v>28</v>
      </c>
      <c r="D21" s="100" t="s">
        <v>176</v>
      </c>
      <c r="E21" s="96" t="s">
        <v>177</v>
      </c>
      <c r="F21" s="10">
        <v>18000</v>
      </c>
      <c r="G21" s="10">
        <f>IF(Mayo[[#This Row],[COTIZACION]]="", "", Mayo[[#This Row],[ARS]]/Mayo[[#This Row],[COTIZACION]])</f>
        <v>15.384615384615385</v>
      </c>
      <c r="H21" s="10">
        <v>1170</v>
      </c>
    </row>
    <row r="22" spans="2:8" ht="15.5" x14ac:dyDescent="0.35">
      <c r="B22" s="9" t="s">
        <v>14</v>
      </c>
      <c r="C22" s="9" t="s">
        <v>76</v>
      </c>
      <c r="D22" s="1"/>
      <c r="E22" s="9" t="s">
        <v>184</v>
      </c>
      <c r="F22" s="10">
        <v>400000</v>
      </c>
      <c r="G22" s="10">
        <f>IF(Mayo[[#This Row],[COTIZACION]]="", "", Mayo[[#This Row],[ARS]]/Mayo[[#This Row],[COTIZACION]])</f>
        <v>341.88034188034186</v>
      </c>
      <c r="H22" s="10">
        <v>1170</v>
      </c>
    </row>
    <row r="23" spans="2:8" ht="15.5" x14ac:dyDescent="0.35">
      <c r="B23" s="9"/>
      <c r="C23" s="9"/>
      <c r="D23" s="1"/>
      <c r="E23" s="9"/>
      <c r="F23" s="10"/>
      <c r="G23" s="10" t="str">
        <f>IF(Mayo[[#This Row],[COTIZACION]]="", "", Mayo[[#This Row],[ARS]]/Mayo[[#This Row],[COTIZACION]])</f>
        <v/>
      </c>
      <c r="H23" s="10"/>
    </row>
    <row r="24" spans="2:8" ht="15.5" x14ac:dyDescent="0.35">
      <c r="B24" s="96"/>
      <c r="C24" s="96"/>
      <c r="D24" s="100"/>
      <c r="E24" s="9"/>
      <c r="F24" s="10"/>
      <c r="G24" s="10"/>
      <c r="H24" s="10"/>
    </row>
    <row r="25" spans="2:8" ht="15.5" x14ac:dyDescent="0.35">
      <c r="B25" s="9"/>
      <c r="C25" s="9"/>
      <c r="D25" s="1"/>
      <c r="E25" s="9"/>
      <c r="F25" s="10"/>
      <c r="G25" s="10"/>
      <c r="H25" s="10"/>
    </row>
    <row r="26" spans="2:8" ht="15.5" x14ac:dyDescent="0.35">
      <c r="B26" s="9"/>
      <c r="C26" s="9"/>
      <c r="D26" s="1"/>
      <c r="E26" s="9"/>
      <c r="F26" s="10"/>
      <c r="G26" s="10"/>
      <c r="H26" s="10"/>
    </row>
    <row r="27" spans="2:8" ht="15.5" x14ac:dyDescent="0.35">
      <c r="B27" s="9"/>
      <c r="C27" s="9"/>
      <c r="D27" s="1"/>
      <c r="E27" s="9"/>
      <c r="F27" s="10"/>
      <c r="G27" s="10"/>
      <c r="H27" s="10"/>
    </row>
    <row r="28" spans="2:8" ht="15.5" x14ac:dyDescent="0.35">
      <c r="B28" s="9"/>
      <c r="C28" s="9"/>
      <c r="D28" s="1"/>
      <c r="E28" s="9"/>
      <c r="F28" s="10"/>
      <c r="G28" s="10"/>
      <c r="H28" s="10"/>
    </row>
    <row r="29" spans="2:8" ht="15.5" x14ac:dyDescent="0.35">
      <c r="B29" s="9"/>
      <c r="C29" s="9"/>
      <c r="D29" s="1"/>
      <c r="E29" s="9"/>
      <c r="F29" s="10"/>
      <c r="G29" s="10"/>
      <c r="H29" s="10"/>
    </row>
    <row r="30" spans="2:8" ht="15.5" x14ac:dyDescent="0.35">
      <c r="B30" s="9"/>
      <c r="C30" s="9"/>
      <c r="D30" s="1"/>
      <c r="E30" s="9"/>
      <c r="F30" s="10"/>
      <c r="G30" s="10"/>
      <c r="H30" s="10"/>
    </row>
    <row r="31" spans="2:8" ht="15.5" x14ac:dyDescent="0.35">
      <c r="B31" s="9"/>
      <c r="C31" s="9"/>
      <c r="D31" s="1"/>
      <c r="E31" s="9"/>
      <c r="F31" s="10"/>
      <c r="G31" s="10"/>
      <c r="H31" s="10"/>
    </row>
    <row r="32" spans="2:8" ht="15.5" x14ac:dyDescent="0.35">
      <c r="B32" s="9"/>
      <c r="C32" s="9"/>
      <c r="D32" s="1"/>
      <c r="E32" s="9"/>
      <c r="F32" s="10"/>
      <c r="G32" s="10"/>
      <c r="H32" s="10"/>
    </row>
    <row r="33" spans="2:8" ht="15.5" x14ac:dyDescent="0.35">
      <c r="B33" s="9"/>
      <c r="C33" s="9"/>
      <c r="D33" s="1"/>
      <c r="E33" s="9"/>
      <c r="F33" s="10"/>
      <c r="G33" s="10"/>
      <c r="H33" s="10"/>
    </row>
    <row r="34" spans="2:8" ht="15.5" x14ac:dyDescent="0.35">
      <c r="B34" s="9"/>
      <c r="C34" s="9"/>
      <c r="D34" s="1"/>
      <c r="E34" s="9"/>
      <c r="F34" s="10"/>
      <c r="G34" s="10"/>
      <c r="H34" s="10"/>
    </row>
    <row r="35" spans="2:8" ht="15.5" x14ac:dyDescent="0.35">
      <c r="B35" s="9"/>
      <c r="C35" s="9"/>
      <c r="D35" s="1"/>
      <c r="E35" s="9"/>
      <c r="F35" s="10"/>
      <c r="G35" s="10"/>
      <c r="H35" s="10"/>
    </row>
    <row r="36" spans="2:8" ht="15.5" x14ac:dyDescent="0.35">
      <c r="B36" s="9"/>
      <c r="C36" s="9"/>
      <c r="D36" s="1"/>
      <c r="E36" s="9"/>
      <c r="F36" s="10"/>
      <c r="G36" s="10"/>
      <c r="H36" s="10"/>
    </row>
    <row r="37" spans="2:8" ht="15.5" x14ac:dyDescent="0.35">
      <c r="B37" s="9"/>
      <c r="C37" s="9"/>
      <c r="D37" s="1"/>
      <c r="E37" s="9"/>
      <c r="F37" s="10"/>
      <c r="G37" s="10"/>
      <c r="H37" s="10"/>
    </row>
    <row r="38" spans="2:8" ht="15.5" x14ac:dyDescent="0.35">
      <c r="B38" s="9"/>
      <c r="C38" s="9"/>
      <c r="D38" s="1"/>
      <c r="E38" s="9"/>
      <c r="F38" s="10"/>
      <c r="G38" s="10"/>
      <c r="H38" s="10"/>
    </row>
    <row r="39" spans="2:8" ht="15.5" x14ac:dyDescent="0.35">
      <c r="B39" s="9"/>
      <c r="C39" s="9"/>
      <c r="D39" s="1"/>
      <c r="E39" s="9"/>
      <c r="F39" s="10"/>
      <c r="G39" s="10"/>
      <c r="H39" s="10"/>
    </row>
    <row r="40" spans="2:8" ht="15.5" x14ac:dyDescent="0.35">
      <c r="B40" s="9"/>
      <c r="C40" s="9"/>
      <c r="D40" s="1"/>
      <c r="E40" s="9"/>
      <c r="F40" s="10"/>
      <c r="G40" s="10"/>
      <c r="H40" s="10"/>
    </row>
    <row r="41" spans="2:8" ht="15.5" x14ac:dyDescent="0.35">
      <c r="B41" s="9"/>
      <c r="C41" s="9"/>
      <c r="D41" s="1"/>
      <c r="E41" s="9"/>
      <c r="F41" s="10"/>
      <c r="G41" s="10"/>
      <c r="H41" s="10"/>
    </row>
    <row r="42" spans="2:8" ht="15.5" x14ac:dyDescent="0.35">
      <c r="B42" s="9"/>
      <c r="C42" s="9"/>
      <c r="D42" s="1"/>
      <c r="E42" s="9"/>
      <c r="F42" s="10"/>
      <c r="G42" s="10"/>
      <c r="H42" s="10"/>
    </row>
    <row r="43" spans="2:8" ht="15.5" x14ac:dyDescent="0.35">
      <c r="B43" s="9"/>
      <c r="C43" s="9"/>
      <c r="D43" s="1"/>
      <c r="E43" s="9"/>
      <c r="F43" s="10"/>
      <c r="G43" s="10"/>
      <c r="H43" s="10"/>
    </row>
    <row r="44" spans="2:8" ht="15.5" x14ac:dyDescent="0.35">
      <c r="B44" s="9"/>
      <c r="C44" s="9"/>
      <c r="D44" s="1"/>
      <c r="E44" s="9"/>
      <c r="F44" s="10"/>
      <c r="G44" s="10"/>
      <c r="H44" s="10"/>
    </row>
    <row r="45" spans="2:8" ht="15.5" x14ac:dyDescent="0.35">
      <c r="B45" s="9"/>
      <c r="C45" s="9"/>
      <c r="D45" s="1"/>
      <c r="E45" s="9"/>
      <c r="F45" s="10"/>
      <c r="G45" s="10"/>
      <c r="H45" s="10"/>
    </row>
    <row r="46" spans="2:8" ht="15.5" x14ac:dyDescent="0.35">
      <c r="B46" s="9"/>
      <c r="C46" s="9"/>
      <c r="D46" s="1"/>
      <c r="E46" s="9"/>
      <c r="F46" s="10"/>
      <c r="G46" s="10"/>
      <c r="H46" s="10"/>
    </row>
    <row r="47" spans="2:8" ht="15.5" x14ac:dyDescent="0.35">
      <c r="B47" s="9"/>
      <c r="C47" s="9"/>
      <c r="D47" s="1"/>
      <c r="E47" s="9"/>
      <c r="F47" s="10"/>
      <c r="G47" s="10"/>
      <c r="H47" s="10"/>
    </row>
    <row r="48" spans="2:8" ht="15.5" x14ac:dyDescent="0.35">
      <c r="B48" s="9"/>
      <c r="C48" s="9"/>
      <c r="D48" s="1"/>
      <c r="E48" s="9"/>
      <c r="F48" s="10"/>
      <c r="G48" s="10"/>
      <c r="H48" s="10"/>
    </row>
    <row r="49" spans="2:8" ht="15.5" x14ac:dyDescent="0.35">
      <c r="B49" s="9"/>
      <c r="C49" s="9"/>
      <c r="D49" s="1"/>
      <c r="E49" s="9"/>
      <c r="F49" s="10"/>
      <c r="G49" s="10"/>
      <c r="H49" s="10"/>
    </row>
    <row r="50" spans="2:8" ht="15.5" x14ac:dyDescent="0.35">
      <c r="B50" s="9"/>
      <c r="C50" s="9"/>
      <c r="D50" s="1"/>
      <c r="E50" s="9"/>
      <c r="F50" s="10"/>
      <c r="G50" s="10"/>
      <c r="H50" s="10"/>
    </row>
    <row r="51" spans="2:8" ht="15.5" x14ac:dyDescent="0.35">
      <c r="B51" s="9"/>
      <c r="C51" s="9"/>
      <c r="D51" s="1"/>
      <c r="E51" s="9"/>
      <c r="F51" s="10"/>
      <c r="G51" s="10"/>
      <c r="H51" s="10"/>
    </row>
    <row r="52" spans="2:8" ht="15.5" x14ac:dyDescent="0.35">
      <c r="B52" s="9"/>
      <c r="C52" s="9"/>
      <c r="D52" s="1"/>
      <c r="E52" s="9"/>
      <c r="F52" s="10"/>
      <c r="G52" s="10"/>
      <c r="H52" s="10"/>
    </row>
    <row r="53" spans="2:8" ht="15.5" x14ac:dyDescent="0.35">
      <c r="B53" s="9"/>
      <c r="C53" s="9"/>
      <c r="D53" s="1"/>
      <c r="E53" s="9"/>
      <c r="F53" s="10"/>
      <c r="G53" s="10"/>
      <c r="H53" s="10"/>
    </row>
    <row r="54" spans="2:8" ht="15.5" x14ac:dyDescent="0.35">
      <c r="B54" s="9"/>
      <c r="C54" s="9"/>
      <c r="D54" s="1"/>
      <c r="E54" s="9"/>
      <c r="F54" s="10"/>
      <c r="G54" s="10"/>
      <c r="H54" s="10"/>
    </row>
    <row r="55" spans="2:8" ht="15.5" x14ac:dyDescent="0.35">
      <c r="B55" s="9"/>
      <c r="C55" s="9"/>
      <c r="D55" s="1"/>
      <c r="E55" s="9"/>
      <c r="F55" s="10"/>
      <c r="G55" s="10"/>
      <c r="H55" s="10"/>
    </row>
    <row r="56" spans="2:8" ht="15.5" x14ac:dyDescent="0.35">
      <c r="B56" s="9"/>
      <c r="C56" s="9"/>
      <c r="D56" s="1"/>
      <c r="E56" s="9"/>
      <c r="F56" s="10"/>
      <c r="G56" s="10"/>
      <c r="H56" s="10"/>
    </row>
    <row r="57" spans="2:8" ht="15.5" x14ac:dyDescent="0.35">
      <c r="B57" s="9"/>
      <c r="C57" s="9"/>
      <c r="D57" s="1"/>
      <c r="E57" s="9"/>
      <c r="F57" s="10"/>
      <c r="G57" s="10"/>
      <c r="H57" s="10"/>
    </row>
    <row r="58" spans="2:8" ht="15.5" x14ac:dyDescent="0.35">
      <c r="B58" s="9"/>
      <c r="C58" s="9"/>
      <c r="D58" s="1"/>
      <c r="E58" s="9"/>
      <c r="F58" s="10"/>
      <c r="G58" s="10"/>
      <c r="H58" s="10"/>
    </row>
    <row r="59" spans="2:8" ht="15.5" x14ac:dyDescent="0.35">
      <c r="B59" s="9"/>
      <c r="C59" s="9"/>
      <c r="D59" s="1"/>
      <c r="E59" s="9"/>
      <c r="F59" s="10"/>
      <c r="G59" s="10"/>
      <c r="H59" s="10"/>
    </row>
    <row r="60" spans="2:8" ht="15.5" x14ac:dyDescent="0.35">
      <c r="B60" s="9"/>
      <c r="C60" s="9"/>
      <c r="D60" s="1"/>
      <c r="E60" s="9"/>
      <c r="F60" s="10"/>
      <c r="G60" s="10"/>
      <c r="H60" s="10"/>
    </row>
    <row r="61" spans="2:8" ht="15.5" x14ac:dyDescent="0.35">
      <c r="B61" s="9"/>
      <c r="C61" s="9"/>
      <c r="D61" s="1"/>
      <c r="E61" s="9"/>
      <c r="F61" s="10"/>
      <c r="G61" s="10"/>
      <c r="H61" s="10"/>
    </row>
    <row r="62" spans="2:8" ht="15.5" x14ac:dyDescent="0.35">
      <c r="B62" s="9"/>
      <c r="C62" s="9"/>
      <c r="D62" s="1"/>
      <c r="E62" s="9"/>
      <c r="F62" s="10"/>
      <c r="G62" s="10"/>
      <c r="H62" s="10"/>
    </row>
    <row r="63" spans="2:8" ht="15.5" x14ac:dyDescent="0.35">
      <c r="B63" s="9"/>
      <c r="C63" s="9"/>
      <c r="D63" s="1"/>
      <c r="E63" s="9"/>
      <c r="F63" s="10"/>
      <c r="G63" s="10"/>
      <c r="H63" s="10"/>
    </row>
    <row r="64" spans="2:8" ht="15.5" x14ac:dyDescent="0.35">
      <c r="B64" s="9"/>
      <c r="C64" s="9"/>
      <c r="D64" s="1"/>
      <c r="E64" s="9"/>
      <c r="F64" s="10"/>
      <c r="G64" s="10"/>
      <c r="H64" s="10"/>
    </row>
    <row r="65" spans="2:8" ht="15.5" x14ac:dyDescent="0.35">
      <c r="B65" s="9"/>
      <c r="C65" s="9"/>
      <c r="D65" s="1"/>
      <c r="E65" s="9"/>
      <c r="F65" s="10"/>
      <c r="G65" s="10"/>
      <c r="H65" s="10"/>
    </row>
    <row r="66" spans="2:8" ht="15.5" x14ac:dyDescent="0.35">
      <c r="B66" s="9"/>
      <c r="C66" s="9"/>
      <c r="D66" s="1"/>
      <c r="E66" s="9"/>
      <c r="F66" s="10"/>
      <c r="G66" s="10"/>
      <c r="H66" s="10"/>
    </row>
    <row r="67" spans="2:8" ht="15.5" x14ac:dyDescent="0.35">
      <c r="B67" s="9"/>
      <c r="C67" s="9"/>
      <c r="D67" s="1"/>
      <c r="E67" s="9"/>
      <c r="F67" s="10"/>
      <c r="G67" s="10"/>
      <c r="H67" s="10"/>
    </row>
    <row r="68" spans="2:8" ht="15.5" x14ac:dyDescent="0.35">
      <c r="B68" s="9"/>
      <c r="C68" s="9"/>
      <c r="D68" s="1"/>
      <c r="E68" s="9"/>
      <c r="F68" s="10"/>
      <c r="G68" s="10"/>
      <c r="H68" s="10"/>
    </row>
    <row r="69" spans="2:8" ht="15.5" x14ac:dyDescent="0.35">
      <c r="B69" s="9"/>
      <c r="C69" s="9"/>
      <c r="D69" s="1"/>
      <c r="E69" s="9"/>
      <c r="F69" s="10"/>
      <c r="G69" s="10"/>
      <c r="H69" s="10"/>
    </row>
    <row r="70" spans="2:8" ht="15.5" x14ac:dyDescent="0.35">
      <c r="B70" s="9"/>
      <c r="C70" s="9"/>
      <c r="D70" s="1"/>
      <c r="E70" s="9"/>
      <c r="F70" s="10"/>
      <c r="G70" s="10"/>
      <c r="H70" s="10"/>
    </row>
    <row r="71" spans="2:8" ht="15.5" x14ac:dyDescent="0.35">
      <c r="B71" s="9"/>
      <c r="C71" s="9"/>
      <c r="D71" s="1"/>
      <c r="E71" s="9"/>
      <c r="F71" s="10"/>
      <c r="G71" s="10"/>
      <c r="H71" s="10"/>
    </row>
    <row r="72" spans="2:8" ht="15.5" x14ac:dyDescent="0.35">
      <c r="B72" s="9"/>
      <c r="C72" s="9"/>
      <c r="D72" s="1"/>
      <c r="E72" s="9"/>
      <c r="F72" s="10"/>
      <c r="G72" s="10"/>
      <c r="H72" s="10"/>
    </row>
    <row r="73" spans="2:8" ht="15.5" x14ac:dyDescent="0.35">
      <c r="B73" s="9"/>
      <c r="C73" s="9"/>
      <c r="D73" s="1"/>
      <c r="E73" s="9"/>
      <c r="F73" s="10"/>
      <c r="G73" s="10"/>
      <c r="H73" s="10"/>
    </row>
    <row r="74" spans="2:8" ht="15.5" x14ac:dyDescent="0.35">
      <c r="B74" s="9"/>
      <c r="C74" s="9"/>
      <c r="D74" s="1"/>
      <c r="E74" s="9"/>
      <c r="F74" s="10"/>
      <c r="G74" s="10"/>
      <c r="H74" s="10"/>
    </row>
    <row r="75" spans="2:8" ht="15.5" x14ac:dyDescent="0.35">
      <c r="B75" s="9"/>
      <c r="C75" s="9"/>
      <c r="D75" s="1"/>
      <c r="E75" s="9"/>
      <c r="F75" s="10"/>
      <c r="G75" s="10"/>
      <c r="H75" s="10"/>
    </row>
    <row r="76" spans="2:8" ht="15.5" x14ac:dyDescent="0.35">
      <c r="B76" s="9"/>
      <c r="C76" s="9"/>
      <c r="D76" s="1"/>
      <c r="E76" s="9"/>
      <c r="F76" s="10"/>
      <c r="G76" s="10"/>
      <c r="H76" s="10"/>
    </row>
    <row r="77" spans="2:8" ht="15.5" x14ac:dyDescent="0.35">
      <c r="B77" s="9"/>
      <c r="C77" s="9"/>
      <c r="D77" s="1"/>
      <c r="E77" s="9"/>
      <c r="F77" s="10"/>
      <c r="G77" s="10"/>
      <c r="H77" s="10"/>
    </row>
    <row r="78" spans="2:8" ht="15.5" x14ac:dyDescent="0.35">
      <c r="B78" s="9"/>
      <c r="C78" s="9"/>
      <c r="D78" s="1"/>
      <c r="E78" s="9"/>
      <c r="F78" s="10"/>
      <c r="G78" s="10"/>
      <c r="H78" s="10"/>
    </row>
    <row r="79" spans="2:8" ht="15.5" x14ac:dyDescent="0.35">
      <c r="B79" s="9"/>
      <c r="C79" s="9"/>
      <c r="D79" s="1"/>
      <c r="E79" s="9"/>
      <c r="F79" s="10"/>
      <c r="G79" s="10"/>
      <c r="H79" s="10"/>
    </row>
    <row r="80" spans="2:8" ht="15.5" x14ac:dyDescent="0.35">
      <c r="B80" s="9"/>
      <c r="C80" s="9"/>
      <c r="D80" s="1"/>
      <c r="E80" s="9"/>
      <c r="F80" s="10"/>
      <c r="G80" s="10"/>
      <c r="H80" s="10"/>
    </row>
    <row r="81" spans="2:8" ht="15.5" x14ac:dyDescent="0.35">
      <c r="B81" s="9"/>
      <c r="C81" s="9"/>
      <c r="D81" s="1"/>
      <c r="E81" s="9"/>
      <c r="F81" s="10"/>
      <c r="G81" s="10"/>
      <c r="H81" s="10"/>
    </row>
    <row r="82" spans="2:8" ht="15.5" x14ac:dyDescent="0.35">
      <c r="B82" s="9"/>
      <c r="C82" s="9"/>
      <c r="D82" s="1"/>
      <c r="E82" s="9"/>
      <c r="F82" s="10"/>
      <c r="G82" s="10"/>
      <c r="H82" s="10"/>
    </row>
    <row r="83" spans="2:8" ht="15.5" x14ac:dyDescent="0.35">
      <c r="B83" s="9"/>
      <c r="C83" s="9"/>
      <c r="D83" s="1"/>
      <c r="E83" s="9"/>
      <c r="F83" s="10"/>
      <c r="G83" s="10"/>
      <c r="H83" s="10"/>
    </row>
    <row r="84" spans="2:8" ht="15.5" x14ac:dyDescent="0.35">
      <c r="B84" s="9"/>
      <c r="C84" s="9"/>
      <c r="D84" s="1"/>
      <c r="E84" s="9"/>
      <c r="F84" s="10"/>
      <c r="G84" s="10"/>
      <c r="H84" s="10"/>
    </row>
    <row r="85" spans="2:8" ht="15.5" x14ac:dyDescent="0.35">
      <c r="B85" s="9"/>
      <c r="C85" s="9"/>
      <c r="D85" s="1"/>
      <c r="E85" s="9"/>
      <c r="F85" s="10"/>
      <c r="G85" s="10"/>
      <c r="H85" s="10"/>
    </row>
    <row r="86" spans="2:8" ht="15.5" x14ac:dyDescent="0.35">
      <c r="B86" s="9"/>
      <c r="C86" s="9"/>
      <c r="D86" s="1"/>
      <c r="E86" s="9"/>
      <c r="F86" s="10"/>
      <c r="G86" s="10" t="str">
        <f>IF(Mayo[[#This Row],[COTIZACION]]="", "", Mayo[[#This Row],[ARS]]/Mayo[[#This Row],[COTIZACION]])</f>
        <v/>
      </c>
      <c r="H86" s="10"/>
    </row>
    <row r="87" spans="2:8" ht="15.5" x14ac:dyDescent="0.35">
      <c r="B87" s="9"/>
      <c r="C87" s="9"/>
      <c r="D87" s="1"/>
      <c r="E87" s="9"/>
      <c r="F87" s="10"/>
      <c r="G87" s="10" t="str">
        <f>IF(Mayo[[#This Row],[COTIZACION]]="", "", Mayo[[#This Row],[ARS]]/Mayo[[#This Row],[COTIZACION]])</f>
        <v/>
      </c>
      <c r="H87" s="10"/>
    </row>
    <row r="88" spans="2:8" ht="15.5" x14ac:dyDescent="0.35">
      <c r="B88" s="9"/>
      <c r="C88" s="9"/>
      <c r="D88" s="1"/>
      <c r="E88" s="9"/>
      <c r="F88" s="10"/>
      <c r="G88" s="10" t="str">
        <f>IF(Mayo[[#This Row],[COTIZACION]]="", "", Mayo[[#This Row],[ARS]]/Mayo[[#This Row],[COTIZACION]])</f>
        <v/>
      </c>
      <c r="H88" s="10"/>
    </row>
    <row r="89" spans="2:8" ht="15.5" x14ac:dyDescent="0.35">
      <c r="B89" s="9"/>
      <c r="C89" s="9"/>
      <c r="D89" s="1"/>
      <c r="E89" s="9"/>
      <c r="F89" s="10"/>
      <c r="G89" s="10" t="str">
        <f>IF(Mayo[[#This Row],[COTIZACION]]="", "", Mayo[[#This Row],[ARS]]/Mayo[[#This Row],[COTIZACION]])</f>
        <v/>
      </c>
      <c r="H89" s="10"/>
    </row>
    <row r="90" spans="2:8" ht="15.5" x14ac:dyDescent="0.35">
      <c r="B90" s="9"/>
      <c r="C90" s="9"/>
      <c r="D90" s="1"/>
      <c r="E90" s="9"/>
      <c r="F90" s="10"/>
      <c r="G90" s="10" t="str">
        <f>IF(Mayo[[#This Row],[COTIZACION]]="", "", Mayo[[#This Row],[ARS]]/Mayo[[#This Row],[COTIZACION]])</f>
        <v/>
      </c>
      <c r="H90" s="10"/>
    </row>
    <row r="91" spans="2:8" ht="15.5" x14ac:dyDescent="0.35">
      <c r="B91" s="9"/>
      <c r="C91" s="9"/>
      <c r="D91" s="1"/>
      <c r="E91" s="9"/>
      <c r="F91" s="10"/>
      <c r="G91" s="10" t="str">
        <f>IF(Mayo[[#This Row],[COTIZACION]]="", "", Mayo[[#This Row],[ARS]]/Mayo[[#This Row],[COTIZACION]])</f>
        <v/>
      </c>
      <c r="H91" s="10"/>
    </row>
    <row r="92" spans="2:8" ht="15.5" x14ac:dyDescent="0.35">
      <c r="B92" s="9"/>
      <c r="C92" s="9"/>
      <c r="D92" s="1"/>
      <c r="E92" s="9"/>
      <c r="F92" s="10"/>
      <c r="G92" s="10" t="str">
        <f>IF(Mayo[[#This Row],[COTIZACION]]="", "", Mayo[[#This Row],[ARS]]/Mayo[[#This Row],[COTIZACION]])</f>
        <v/>
      </c>
      <c r="H92" s="10"/>
    </row>
    <row r="93" spans="2:8" ht="15.5" x14ac:dyDescent="0.35">
      <c r="B93" s="9"/>
      <c r="C93" s="9"/>
      <c r="D93" s="1"/>
      <c r="E93" s="9"/>
      <c r="F93" s="10"/>
      <c r="G93" s="10" t="str">
        <f>IF(Mayo[[#This Row],[COTIZACION]]="", "", Mayo[[#This Row],[ARS]]/Mayo[[#This Row],[COTIZACION]])</f>
        <v/>
      </c>
      <c r="H93" s="10"/>
    </row>
    <row r="94" spans="2:8" ht="15.5" x14ac:dyDescent="0.35">
      <c r="B94" s="9"/>
      <c r="C94" s="9"/>
      <c r="D94" s="1"/>
      <c r="E94" s="9"/>
      <c r="F94" s="10"/>
      <c r="G94" s="10" t="str">
        <f>IF(Mayo[[#This Row],[COTIZACION]]="", "", Mayo[[#This Row],[ARS]]/Mayo[[#This Row],[COTIZACION]])</f>
        <v/>
      </c>
      <c r="H94" s="10"/>
    </row>
    <row r="95" spans="2:8" ht="15.5" x14ac:dyDescent="0.35">
      <c r="B95" s="9"/>
      <c r="C95" s="9"/>
      <c r="D95" s="1"/>
      <c r="E95" s="9"/>
      <c r="F95" s="10"/>
      <c r="G95" s="10" t="str">
        <f>IF(Mayo[[#This Row],[COTIZACION]]="", "", Mayo[[#This Row],[ARS]]/Mayo[[#This Row],[COTIZACION]])</f>
        <v/>
      </c>
      <c r="H95" s="10"/>
    </row>
    <row r="96" spans="2:8" ht="15.5" x14ac:dyDescent="0.35">
      <c r="B96" s="9"/>
      <c r="C96" s="9"/>
      <c r="D96" s="1"/>
      <c r="E96" s="9"/>
      <c r="F96" s="10"/>
      <c r="G96" s="10" t="str">
        <f>IF(Mayo[[#This Row],[COTIZACION]]="", "", Mayo[[#This Row],[ARS]]/Mayo[[#This Row],[COTIZACION]])</f>
        <v/>
      </c>
      <c r="H96" s="10"/>
    </row>
    <row r="97" spans="2:8" ht="15.5" x14ac:dyDescent="0.35">
      <c r="B97" s="9"/>
      <c r="C97" s="9"/>
      <c r="D97" s="1"/>
      <c r="E97" s="9"/>
      <c r="F97" s="10"/>
      <c r="G97" s="10" t="str">
        <f>IF(Mayo[[#This Row],[COTIZACION]]="", "", Mayo[[#This Row],[ARS]]/Mayo[[#This Row],[COTIZACION]])</f>
        <v/>
      </c>
      <c r="H97" s="10"/>
    </row>
    <row r="98" spans="2:8" ht="15.5" x14ac:dyDescent="0.35">
      <c r="B98" s="9"/>
      <c r="C98" s="9"/>
      <c r="D98" s="1"/>
      <c r="E98" s="9"/>
      <c r="F98" s="10"/>
      <c r="G98" s="10" t="str">
        <f>IF(Mayo[[#This Row],[COTIZACION]]="", "", Mayo[[#This Row],[ARS]]/Mayo[[#This Row],[COTIZACION]])</f>
        <v/>
      </c>
      <c r="H98" s="10"/>
    </row>
    <row r="99" spans="2:8" ht="15.5" x14ac:dyDescent="0.35">
      <c r="B99" s="9"/>
      <c r="C99" s="9"/>
      <c r="D99" s="1"/>
      <c r="E99" s="9"/>
      <c r="F99" s="10"/>
      <c r="G99" s="10" t="str">
        <f>IF(Mayo[[#This Row],[COTIZACION]]="", "", Mayo[[#This Row],[ARS]]/Mayo[[#This Row],[COTIZACION]])</f>
        <v/>
      </c>
      <c r="H99" s="10"/>
    </row>
    <row r="100" spans="2:8" ht="15.5" x14ac:dyDescent="0.35">
      <c r="B100" s="35"/>
      <c r="C100" s="35"/>
      <c r="D100" s="36"/>
      <c r="E100" s="35"/>
      <c r="F100" s="37"/>
      <c r="G100" s="37" t="str">
        <f>IF(Mayo[[#This Row],[COTIZACION]]="", "", Mayo[[#This Row],[ARS]]/Mayo[[#This Row],[COTIZACION]])</f>
        <v/>
      </c>
      <c r="H100" s="37"/>
    </row>
  </sheetData>
  <mergeCells count="1">
    <mergeCell ref="F1:H1"/>
  </mergeCells>
  <phoneticPr fontId="3" type="noConversion"/>
  <dataValidations disablePrompts="1" count="2">
    <dataValidation type="list" allowBlank="1" showInputMessage="1" showErrorMessage="1" sqref="B6:B100" xr:uid="{00000000-0002-0000-0800-000000000000}">
      <formula1>Categorías</formula1>
    </dataValidation>
    <dataValidation type="list" allowBlank="1" showInputMessage="1" showErrorMessage="1" sqref="C6:C100" xr:uid="{00000000-0002-0000-0800-000001000000}">
      <formula1>INDIRECT($B6)</formula1>
    </dataValidation>
  </dataValidations>
  <pageMargins left="0.7" right="0.7" top="0.75" bottom="0.75" header="0.3" footer="0.3"/>
  <pageSetup paperSize="9" orientation="portrait" r:id="rId1"/>
  <ignoredErrors>
    <ignoredError sqref="H3:H4" unlockedFormula="1"/>
  </ignoredError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79"/>
  <sheetViews>
    <sheetView showGridLines="0" zoomScale="112" zoomScaleNormal="112" workbookViewId="0">
      <pane ySplit="5" topLeftCell="A6" activePane="bottomLeft" state="frozen"/>
      <selection activeCell="C32" sqref="C32"/>
      <selection pane="bottomLeft" activeCell="B7" sqref="B7:E7"/>
    </sheetView>
  </sheetViews>
  <sheetFormatPr defaultColWidth="9.08984375" defaultRowHeight="14.5" x14ac:dyDescent="0.35"/>
  <cols>
    <col min="1" max="1" width="5.54296875" customWidth="1"/>
    <col min="2" max="2" width="23.08984375" customWidth="1"/>
    <col min="3" max="3" width="26.54296875" customWidth="1"/>
    <col min="4" max="4" width="12.6328125" style="2" customWidth="1"/>
    <col min="5" max="5" width="37" customWidth="1"/>
    <col min="6" max="8" width="17.36328125" style="3" customWidth="1"/>
    <col min="9" max="10" width="9.08984375" customWidth="1"/>
    <col min="11" max="11" width="9.08984375" style="2" customWidth="1"/>
    <col min="12" max="12" width="16.54296875" bestFit="1" customWidth="1"/>
    <col min="13" max="13" width="11.90625" bestFit="1" customWidth="1"/>
    <col min="14" max="14" width="15.54296875" bestFit="1" customWidth="1"/>
  </cols>
  <sheetData>
    <row r="1" spans="2:12" s="4" customFormat="1" ht="18.5" x14ac:dyDescent="0.45">
      <c r="B1" s="25" t="s">
        <v>34</v>
      </c>
      <c r="C1" s="25"/>
      <c r="D1" s="25"/>
      <c r="E1" s="25"/>
      <c r="F1" s="137" t="s">
        <v>21</v>
      </c>
      <c r="G1" s="137"/>
      <c r="H1" s="137"/>
      <c r="K1" s="5"/>
    </row>
    <row r="2" spans="2:12" s="6" customFormat="1" ht="15" customHeight="1" x14ac:dyDescent="0.35">
      <c r="B2" s="2"/>
      <c r="D2" s="8"/>
      <c r="E2" s="27" t="s">
        <v>59</v>
      </c>
      <c r="F2" s="28">
        <f>SUM(Junio[ARS])</f>
        <v>3642549</v>
      </c>
      <c r="G2" s="28">
        <f>SUM(Junio[USD])</f>
        <v>3138.3261808367074</v>
      </c>
      <c r="H2" s="28"/>
      <c r="K2" s="8"/>
    </row>
    <row r="3" spans="2:12" s="6" customFormat="1" ht="15" customHeight="1" x14ac:dyDescent="0.35">
      <c r="B3" s="2"/>
      <c r="D3" s="8"/>
      <c r="E3" s="27" t="s">
        <v>65</v>
      </c>
      <c r="F3" s="29">
        <f>MAX(Junio[ARS])</f>
        <v>1170000</v>
      </c>
      <c r="G3" s="29">
        <f>MAX(Junio[USD])</f>
        <v>1000</v>
      </c>
      <c r="H3" s="29">
        <f>MAX(Junio[COTIZACION])</f>
        <v>1190</v>
      </c>
      <c r="K3" s="8"/>
    </row>
    <row r="4" spans="2:12" s="6" customFormat="1" ht="15" customHeight="1" x14ac:dyDescent="0.35">
      <c r="B4" s="2"/>
      <c r="D4" s="8"/>
      <c r="E4" s="27" t="s">
        <v>66</v>
      </c>
      <c r="F4" s="29">
        <f>MIN(Junio[ARS])</f>
        <v>3000</v>
      </c>
      <c r="G4" s="29">
        <f>MIN(Junio[USD])</f>
        <v>2.5641025641025643</v>
      </c>
      <c r="H4" s="29">
        <f>MIN(Junio[COTIZACION])</f>
        <v>1140</v>
      </c>
      <c r="K4" s="8"/>
    </row>
    <row r="5" spans="2:12" s="33" customFormat="1" ht="15.5" x14ac:dyDescent="0.35">
      <c r="B5" s="30" t="s">
        <v>35</v>
      </c>
      <c r="C5" s="30" t="s">
        <v>36</v>
      </c>
      <c r="D5" s="30" t="s">
        <v>37</v>
      </c>
      <c r="E5" s="30" t="s">
        <v>13</v>
      </c>
      <c r="F5" s="30" t="s">
        <v>64</v>
      </c>
      <c r="G5" s="30" t="s">
        <v>63</v>
      </c>
      <c r="H5" s="30" t="s">
        <v>62</v>
      </c>
      <c r="I5" s="32"/>
      <c r="K5" s="34"/>
      <c r="L5" s="11"/>
    </row>
    <row r="6" spans="2:12" ht="15.75" customHeight="1" x14ac:dyDescent="0.35">
      <c r="B6" s="9"/>
      <c r="C6" s="9"/>
      <c r="D6" s="1"/>
      <c r="E6" s="9"/>
      <c r="F6" s="10"/>
      <c r="G6" s="10" t="str">
        <f>IF(Junio[[#This Row],[COTIZACION]]="", "", Junio[[#This Row],[ARS]]/Junio[[#This Row],[COTIZACION]])</f>
        <v/>
      </c>
      <c r="H6" s="10"/>
    </row>
    <row r="7" spans="2:12" ht="15.75" customHeight="1" x14ac:dyDescent="0.35">
      <c r="B7" s="96" t="s">
        <v>14</v>
      </c>
      <c r="C7" s="96" t="s">
        <v>72</v>
      </c>
      <c r="D7" s="97">
        <v>45722</v>
      </c>
      <c r="E7" s="96" t="s">
        <v>72</v>
      </c>
      <c r="F7" s="10">
        <v>939360</v>
      </c>
      <c r="G7" s="10">
        <f>IF(Junio[[#This Row],[COTIZACION]]="", "", Junio[[#This Row],[ARS]]/Junio[[#This Row],[COTIZACION]])</f>
        <v>824</v>
      </c>
      <c r="H7" s="98">
        <v>1140</v>
      </c>
    </row>
    <row r="8" spans="2:12" ht="15.5" x14ac:dyDescent="0.35">
      <c r="B8" s="9" t="s">
        <v>8</v>
      </c>
      <c r="C8" s="9" t="s">
        <v>106</v>
      </c>
      <c r="D8" s="1">
        <v>45753</v>
      </c>
      <c r="E8" s="9" t="s">
        <v>199</v>
      </c>
      <c r="F8" s="10">
        <v>207480</v>
      </c>
      <c r="G8" s="10">
        <f>IF(Junio[[#This Row],[COTIZACION]]="", "", Junio[[#This Row],[ARS]]/Junio[[#This Row],[COTIZACION]])</f>
        <v>182</v>
      </c>
      <c r="H8" s="10">
        <v>1140</v>
      </c>
    </row>
    <row r="9" spans="2:12" ht="15.5" x14ac:dyDescent="0.35">
      <c r="B9" s="9" t="s">
        <v>14</v>
      </c>
      <c r="C9" s="9" t="s">
        <v>33</v>
      </c>
      <c r="D9" s="1">
        <v>45783</v>
      </c>
      <c r="E9" s="9" t="s">
        <v>201</v>
      </c>
      <c r="F9" s="10">
        <v>11000</v>
      </c>
      <c r="G9" s="10">
        <f>IF(Junio[[#This Row],[COTIZACION]]="", "", Junio[[#This Row],[ARS]]/Junio[[#This Row],[COTIZACION]])</f>
        <v>9.6491228070175445</v>
      </c>
      <c r="H9" s="10">
        <v>1140</v>
      </c>
    </row>
    <row r="10" spans="2:12" ht="15.5" x14ac:dyDescent="0.35">
      <c r="B10" s="9" t="s">
        <v>14</v>
      </c>
      <c r="C10" s="9" t="s">
        <v>10</v>
      </c>
      <c r="D10" s="1">
        <v>45997</v>
      </c>
      <c r="E10" s="9"/>
      <c r="F10" s="10">
        <v>33600</v>
      </c>
      <c r="G10" s="10">
        <f>IF(Junio[[#This Row],[COTIZACION]]="", "", Junio[[#This Row],[ARS]]/Junio[[#This Row],[COTIZACION]])</f>
        <v>29.473684210526315</v>
      </c>
      <c r="H10" s="10">
        <v>1140</v>
      </c>
    </row>
    <row r="11" spans="2:12" ht="15.5" x14ac:dyDescent="0.35">
      <c r="B11" s="9" t="s">
        <v>14</v>
      </c>
      <c r="C11" s="9" t="s">
        <v>33</v>
      </c>
      <c r="D11" s="1" t="s">
        <v>203</v>
      </c>
      <c r="E11" s="9" t="s">
        <v>201</v>
      </c>
      <c r="F11" s="10">
        <v>20000</v>
      </c>
      <c r="G11" s="10">
        <f>IF(Junio[[#This Row],[COTIZACION]]="", "", Junio[[#This Row],[ARS]]/Junio[[#This Row],[COTIZACION]])</f>
        <v>17.543859649122808</v>
      </c>
      <c r="H11" s="98">
        <v>1140</v>
      </c>
    </row>
    <row r="12" spans="2:12" ht="15.5" x14ac:dyDescent="0.35">
      <c r="B12" s="96" t="s">
        <v>14</v>
      </c>
      <c r="C12" s="9" t="s">
        <v>33</v>
      </c>
      <c r="D12" s="1" t="s">
        <v>204</v>
      </c>
      <c r="E12" s="9" t="s">
        <v>205</v>
      </c>
      <c r="F12" s="10">
        <v>20000</v>
      </c>
      <c r="G12" s="10">
        <f>IF(Junio[[#This Row],[COTIZACION]]="", "", Junio[[#This Row],[ARS]]/Junio[[#This Row],[COTIZACION]])</f>
        <v>17.543859649122808</v>
      </c>
      <c r="H12" s="98">
        <v>1140</v>
      </c>
    </row>
    <row r="13" spans="2:12" ht="15.5" x14ac:dyDescent="0.35">
      <c r="B13" s="96" t="s">
        <v>85</v>
      </c>
      <c r="C13" s="96" t="s">
        <v>83</v>
      </c>
      <c r="D13" s="97" t="s">
        <v>206</v>
      </c>
      <c r="E13" s="96" t="s">
        <v>207</v>
      </c>
      <c r="F13" s="10">
        <v>20000</v>
      </c>
      <c r="G13" s="10">
        <f>IF(Junio[[#This Row],[COTIZACION]]="", "", Junio[[#This Row],[ARS]]/Junio[[#This Row],[COTIZACION]])</f>
        <v>17.543859649122808</v>
      </c>
      <c r="H13" s="98">
        <v>1140</v>
      </c>
    </row>
    <row r="14" spans="2:12" ht="15.5" x14ac:dyDescent="0.35">
      <c r="B14" s="96" t="s">
        <v>8</v>
      </c>
      <c r="C14" s="96" t="s">
        <v>106</v>
      </c>
      <c r="D14" s="97" t="s">
        <v>208</v>
      </c>
      <c r="E14" s="96" t="s">
        <v>209</v>
      </c>
      <c r="F14" s="10">
        <v>216580</v>
      </c>
      <c r="G14" s="10">
        <f>IF(Junio[[#This Row],[COTIZACION]]="", "", Junio[[#This Row],[ARS]]/Junio[[#This Row],[COTIZACION]])</f>
        <v>182</v>
      </c>
      <c r="H14" s="98">
        <v>1190</v>
      </c>
    </row>
    <row r="15" spans="2:12" ht="15.5" x14ac:dyDescent="0.35">
      <c r="B15" s="9"/>
      <c r="C15" s="9"/>
      <c r="D15" s="1"/>
      <c r="E15" s="9"/>
      <c r="F15" s="10"/>
      <c r="G15" s="10" t="str">
        <f>IF(Junio[[#This Row],[COTIZACION]]="", "", Junio[[#This Row],[ARS]]/Junio[[#This Row],[COTIZACION]])</f>
        <v/>
      </c>
      <c r="H15" s="10"/>
    </row>
    <row r="16" spans="2:12" ht="15.5" x14ac:dyDescent="0.35">
      <c r="B16" s="96" t="s">
        <v>14</v>
      </c>
      <c r="C16" s="96" t="s">
        <v>75</v>
      </c>
      <c r="D16" s="97">
        <v>45967</v>
      </c>
      <c r="E16" s="96" t="s">
        <v>202</v>
      </c>
      <c r="F16" s="10">
        <v>133520</v>
      </c>
      <c r="G16" s="10">
        <f>IF(Junio[[#This Row],[COTIZACION]]="", "", Junio[[#This Row],[ARS]]/Junio[[#This Row],[COTIZACION]])</f>
        <v>114.11965811965813</v>
      </c>
      <c r="H16" s="98">
        <v>1170</v>
      </c>
    </row>
    <row r="17" spans="2:8" ht="15.5" x14ac:dyDescent="0.35">
      <c r="B17" s="96" t="s">
        <v>14</v>
      </c>
      <c r="C17" s="96" t="s">
        <v>76</v>
      </c>
      <c r="D17" s="97">
        <v>45967</v>
      </c>
      <c r="E17" s="96"/>
      <c r="F17" s="10">
        <v>336000</v>
      </c>
      <c r="G17" s="10">
        <f>IF(Junio[[#This Row],[COTIZACION]]="", "", Junio[[#This Row],[ARS]]/Junio[[#This Row],[COTIZACION]])</f>
        <v>287.17948717948718</v>
      </c>
      <c r="H17" s="98">
        <v>1170</v>
      </c>
    </row>
    <row r="18" spans="2:8" ht="15.75" customHeight="1" x14ac:dyDescent="0.35">
      <c r="B18" s="9" t="s">
        <v>85</v>
      </c>
      <c r="C18" s="9" t="s">
        <v>162</v>
      </c>
      <c r="D18" s="1">
        <v>45936</v>
      </c>
      <c r="E18" s="9" t="s">
        <v>179</v>
      </c>
      <c r="F18" s="10">
        <v>1170000</v>
      </c>
      <c r="G18" s="10">
        <f>IF(Junio[[#This Row],[COTIZACION]]="", "", Junio[[#This Row],[ARS]]/Junio[[#This Row],[COTIZACION]])</f>
        <v>1000</v>
      </c>
      <c r="H18" s="10">
        <v>1170</v>
      </c>
    </row>
    <row r="19" spans="2:8" ht="15.5" x14ac:dyDescent="0.35">
      <c r="B19" s="9"/>
      <c r="C19" s="9"/>
      <c r="D19" s="1"/>
      <c r="E19" s="9"/>
      <c r="F19" s="10"/>
      <c r="G19" s="10" t="str">
        <f>IF(Junio[[#This Row],[COTIZACION]]="", "", Junio[[#This Row],[ARS]]/Junio[[#This Row],[COTIZACION]])</f>
        <v/>
      </c>
      <c r="H19" s="10"/>
    </row>
    <row r="20" spans="2:8" ht="15.5" x14ac:dyDescent="0.35">
      <c r="B20" s="9" t="s">
        <v>14</v>
      </c>
      <c r="C20" s="9" t="s">
        <v>10</v>
      </c>
      <c r="D20" s="1">
        <v>45813</v>
      </c>
      <c r="E20" s="9" t="s">
        <v>186</v>
      </c>
      <c r="F20" s="10">
        <v>32309</v>
      </c>
      <c r="G20" s="10">
        <f>IF(Junio[[#This Row],[COTIZACION]]="", "", Junio[[#This Row],[ARS]]/Junio[[#This Row],[COTIZACION]])</f>
        <v>27.614529914529914</v>
      </c>
      <c r="H20" s="10">
        <v>1170</v>
      </c>
    </row>
    <row r="21" spans="2:8" ht="15.5" x14ac:dyDescent="0.35">
      <c r="B21" s="9" t="s">
        <v>14</v>
      </c>
      <c r="C21" s="9" t="s">
        <v>33</v>
      </c>
      <c r="D21" s="1">
        <v>45813</v>
      </c>
      <c r="E21" s="9" t="s">
        <v>188</v>
      </c>
      <c r="F21" s="10">
        <v>12000</v>
      </c>
      <c r="G21" s="10">
        <f>IF(Junio[[#This Row],[COTIZACION]]="", "", Junio[[#This Row],[ARS]]/Junio[[#This Row],[COTIZACION]])</f>
        <v>10.256410256410257</v>
      </c>
      <c r="H21" s="10">
        <v>1170</v>
      </c>
    </row>
    <row r="22" spans="2:8" ht="15.5" x14ac:dyDescent="0.35">
      <c r="B22" s="9" t="s">
        <v>14</v>
      </c>
      <c r="C22" s="9" t="s">
        <v>67</v>
      </c>
      <c r="D22" s="1">
        <v>45843</v>
      </c>
      <c r="E22" s="9" t="s">
        <v>189</v>
      </c>
      <c r="F22" s="10">
        <v>25000</v>
      </c>
      <c r="G22" s="10">
        <f>IF(Junio[[#This Row],[COTIZACION]]="", "", Junio[[#This Row],[ARS]]/Junio[[#This Row],[COTIZACION]])</f>
        <v>21.367521367521366</v>
      </c>
      <c r="H22" s="10">
        <v>1170</v>
      </c>
    </row>
    <row r="23" spans="2:8" ht="15.5" x14ac:dyDescent="0.35">
      <c r="B23" s="9" t="s">
        <v>14</v>
      </c>
      <c r="C23" s="9" t="s">
        <v>33</v>
      </c>
      <c r="D23" s="1">
        <v>45905</v>
      </c>
      <c r="E23" s="9" t="s">
        <v>188</v>
      </c>
      <c r="F23" s="10">
        <v>17000</v>
      </c>
      <c r="G23" s="10">
        <f>IF(Junio[[#This Row],[COTIZACION]]="", "", Junio[[#This Row],[ARS]]/Junio[[#This Row],[COTIZACION]])</f>
        <v>14.52991452991453</v>
      </c>
      <c r="H23" s="10">
        <v>1170</v>
      </c>
    </row>
    <row r="24" spans="2:8" ht="15.5" x14ac:dyDescent="0.35">
      <c r="B24" s="9" t="s">
        <v>14</v>
      </c>
      <c r="C24" s="9" t="s">
        <v>33</v>
      </c>
      <c r="D24" s="1" t="s">
        <v>191</v>
      </c>
      <c r="E24" s="9" t="s">
        <v>192</v>
      </c>
      <c r="F24" s="10">
        <v>3000</v>
      </c>
      <c r="G24" s="10">
        <f>IF(Junio[[#This Row],[COTIZACION]]="", "", Junio[[#This Row],[ARS]]/Junio[[#This Row],[COTIZACION]])</f>
        <v>2.5641025641025643</v>
      </c>
      <c r="H24" s="10">
        <v>1170</v>
      </c>
    </row>
    <row r="25" spans="2:8" ht="15.5" x14ac:dyDescent="0.35">
      <c r="B25" s="9" t="s">
        <v>14</v>
      </c>
      <c r="C25" s="9" t="s">
        <v>33</v>
      </c>
      <c r="D25" s="1" t="s">
        <v>193</v>
      </c>
      <c r="E25" s="9" t="s">
        <v>194</v>
      </c>
      <c r="F25" s="10">
        <v>200000</v>
      </c>
      <c r="G25" s="10">
        <f>IF(Junio[[#This Row],[COTIZACION]]="", "", Junio[[#This Row],[ARS]]/Junio[[#This Row],[COTIZACION]])</f>
        <v>170.94017094017093</v>
      </c>
      <c r="H25" s="10">
        <v>1170</v>
      </c>
    </row>
    <row r="26" spans="2:8" ht="15.5" x14ac:dyDescent="0.35">
      <c r="B26" s="9"/>
      <c r="C26" s="9"/>
      <c r="D26" s="1"/>
      <c r="E26" s="9"/>
      <c r="F26" s="10"/>
      <c r="G26" s="10" t="str">
        <f>IF(Junio[[#This Row],[COTIZACION]]="", "", Junio[[#This Row],[ARS]]/Junio[[#This Row],[COTIZACION]])</f>
        <v/>
      </c>
      <c r="H26" s="10"/>
    </row>
    <row r="27" spans="2:8" ht="15.5" x14ac:dyDescent="0.35">
      <c r="B27" s="96" t="s">
        <v>14</v>
      </c>
      <c r="C27" s="96" t="s">
        <v>33</v>
      </c>
      <c r="D27" s="100"/>
      <c r="E27" s="9" t="s">
        <v>212</v>
      </c>
      <c r="F27" s="10">
        <v>245700</v>
      </c>
      <c r="G27" s="10">
        <f>IF(Junio[[#This Row],[COTIZACION]]="", "", Junio[[#This Row],[ARS]]/Junio[[#This Row],[COTIZACION]])</f>
        <v>210</v>
      </c>
      <c r="H27" s="10">
        <v>1170</v>
      </c>
    </row>
    <row r="28" spans="2:8" ht="15.5" x14ac:dyDescent="0.35">
      <c r="B28" s="9"/>
      <c r="C28" s="9"/>
      <c r="D28" s="1"/>
      <c r="E28" s="9"/>
      <c r="F28" s="10"/>
      <c r="G28" s="10" t="str">
        <f>IF(Junio[[#This Row],[COTIZACION]]="", "", Junio[[#This Row],[ARS]]/Junio[[#This Row],[COTIZACION]])</f>
        <v/>
      </c>
      <c r="H28" s="10"/>
    </row>
    <row r="29" spans="2:8" ht="15.5" x14ac:dyDescent="0.35">
      <c r="B29" s="9"/>
      <c r="C29" s="9"/>
      <c r="D29" s="1"/>
      <c r="E29" s="9"/>
      <c r="F29" s="10"/>
      <c r="G29" s="10" t="str">
        <f>IF(Junio[[#This Row],[COTIZACION]]="", "", Junio[[#This Row],[ARS]]/Junio[[#This Row],[COTIZACION]])</f>
        <v/>
      </c>
      <c r="H29" s="10"/>
    </row>
    <row r="30" spans="2:8" ht="15.5" x14ac:dyDescent="0.35">
      <c r="B30" s="9"/>
      <c r="C30" s="9"/>
      <c r="D30" s="1"/>
      <c r="E30" s="9"/>
      <c r="F30" s="10"/>
      <c r="G30" s="10" t="str">
        <f>IF(Junio[[#This Row],[COTIZACION]]="", "", Junio[[#This Row],[ARS]]/Junio[[#This Row],[COTIZACION]])</f>
        <v/>
      </c>
      <c r="H30" s="10"/>
    </row>
    <row r="31" spans="2:8" ht="15.5" x14ac:dyDescent="0.35">
      <c r="B31" s="9"/>
      <c r="C31" s="9"/>
      <c r="D31" s="1"/>
      <c r="E31" s="9"/>
      <c r="F31" s="10"/>
      <c r="G31" s="10" t="str">
        <f>IF(Junio[[#This Row],[COTIZACION]]="", "", Junio[[#This Row],[ARS]]/Junio[[#This Row],[COTIZACION]])</f>
        <v/>
      </c>
      <c r="H31" s="10"/>
    </row>
    <row r="32" spans="2:8" ht="15.5" x14ac:dyDescent="0.35">
      <c r="B32" s="9"/>
      <c r="C32" s="9"/>
      <c r="D32" s="1"/>
      <c r="E32" s="9"/>
      <c r="F32" s="10"/>
      <c r="G32" s="10" t="str">
        <f>IF(Junio[[#This Row],[COTIZACION]]="", "", Junio[[#This Row],[ARS]]/Junio[[#This Row],[COTIZACION]])</f>
        <v/>
      </c>
      <c r="H32" s="10"/>
    </row>
    <row r="33" spans="2:8" ht="15.5" x14ac:dyDescent="0.35">
      <c r="B33" s="9"/>
      <c r="C33" s="9"/>
      <c r="D33" s="1"/>
      <c r="E33" s="9"/>
      <c r="F33" s="10"/>
      <c r="G33" s="10" t="str">
        <f>IF(Junio[[#This Row],[COTIZACION]]="", "", Junio[[#This Row],[ARS]]/Junio[[#This Row],[COTIZACION]])</f>
        <v/>
      </c>
      <c r="H33" s="10"/>
    </row>
    <row r="34" spans="2:8" ht="15.5" x14ac:dyDescent="0.35">
      <c r="B34" s="9"/>
      <c r="C34" s="9"/>
      <c r="D34" s="1"/>
      <c r="E34" s="9"/>
      <c r="F34" s="10"/>
      <c r="G34" s="10" t="str">
        <f>IF(Junio[[#This Row],[COTIZACION]]="", "", Junio[[#This Row],[ARS]]/Junio[[#This Row],[COTIZACION]])</f>
        <v/>
      </c>
      <c r="H34" s="10"/>
    </row>
    <row r="35" spans="2:8" ht="15.5" x14ac:dyDescent="0.35">
      <c r="B35" s="9"/>
      <c r="C35" s="9"/>
      <c r="D35" s="1"/>
      <c r="E35" s="9"/>
      <c r="F35" s="10"/>
      <c r="G35" s="10" t="str">
        <f>IF(Junio[[#This Row],[COTIZACION]]="", "", Junio[[#This Row],[ARS]]/Junio[[#This Row],[COTIZACION]])</f>
        <v/>
      </c>
      <c r="H35" s="10"/>
    </row>
    <row r="36" spans="2:8" ht="15.5" x14ac:dyDescent="0.35">
      <c r="B36" s="9"/>
      <c r="C36" s="9"/>
      <c r="D36" s="1"/>
      <c r="E36" s="9"/>
      <c r="F36" s="10"/>
      <c r="G36" s="10" t="str">
        <f>IF(Junio[[#This Row],[COTIZACION]]="", "", Junio[[#This Row],[ARS]]/Junio[[#This Row],[COTIZACION]])</f>
        <v/>
      </c>
      <c r="H36" s="10"/>
    </row>
    <row r="37" spans="2:8" ht="15.5" x14ac:dyDescent="0.35">
      <c r="B37" s="9"/>
      <c r="C37" s="9"/>
      <c r="D37" s="1"/>
      <c r="E37" s="9"/>
      <c r="F37" s="10"/>
      <c r="G37" s="10" t="str">
        <f>IF(Junio[[#This Row],[COTIZACION]]="", "", Junio[[#This Row],[ARS]]/Junio[[#This Row],[COTIZACION]])</f>
        <v/>
      </c>
      <c r="H37" s="10"/>
    </row>
    <row r="38" spans="2:8" ht="15.5" x14ac:dyDescent="0.35">
      <c r="B38" s="9"/>
      <c r="C38" s="9"/>
      <c r="D38" s="1"/>
      <c r="E38" s="9"/>
      <c r="F38" s="10"/>
      <c r="G38" s="10" t="str">
        <f>IF(Junio[[#This Row],[COTIZACION]]="", "", Junio[[#This Row],[ARS]]/Junio[[#This Row],[COTIZACION]])</f>
        <v/>
      </c>
      <c r="H38" s="10"/>
    </row>
    <row r="39" spans="2:8" ht="15.5" x14ac:dyDescent="0.35">
      <c r="B39" s="9"/>
      <c r="C39" s="9"/>
      <c r="D39" s="1"/>
      <c r="E39" s="9"/>
      <c r="F39" s="10"/>
      <c r="G39" s="10" t="str">
        <f>IF(Junio[[#This Row],[COTIZACION]]="", "", Junio[[#This Row],[ARS]]/Junio[[#This Row],[COTIZACION]])</f>
        <v/>
      </c>
      <c r="H39" s="10"/>
    </row>
    <row r="40" spans="2:8" ht="15.5" x14ac:dyDescent="0.35">
      <c r="B40" s="9"/>
      <c r="C40" s="9"/>
      <c r="D40" s="1"/>
      <c r="E40" s="9"/>
      <c r="F40" s="10"/>
      <c r="G40" s="10" t="str">
        <f>IF(Junio[[#This Row],[COTIZACION]]="", "", Junio[[#This Row],[ARS]]/Junio[[#This Row],[COTIZACION]])</f>
        <v/>
      </c>
      <c r="H40" s="10"/>
    </row>
    <row r="41" spans="2:8" ht="15.5" x14ac:dyDescent="0.35">
      <c r="B41" s="9"/>
      <c r="C41" s="9"/>
      <c r="D41" s="1"/>
      <c r="E41" s="9"/>
      <c r="F41" s="10"/>
      <c r="G41" s="10" t="str">
        <f>IF(Junio[[#This Row],[COTIZACION]]="", "", Junio[[#This Row],[ARS]]/Junio[[#This Row],[COTIZACION]])</f>
        <v/>
      </c>
      <c r="H41" s="10"/>
    </row>
    <row r="42" spans="2:8" ht="15.5" x14ac:dyDescent="0.35">
      <c r="B42" s="9"/>
      <c r="C42" s="9"/>
      <c r="D42" s="1"/>
      <c r="E42" s="9"/>
      <c r="F42" s="10"/>
      <c r="G42" s="10" t="str">
        <f>IF(Junio[[#This Row],[COTIZACION]]="", "", Junio[[#This Row],[ARS]]/Junio[[#This Row],[COTIZACION]])</f>
        <v/>
      </c>
      <c r="H42" s="10"/>
    </row>
    <row r="43" spans="2:8" ht="15.5" x14ac:dyDescent="0.35">
      <c r="B43" s="9"/>
      <c r="C43" s="9"/>
      <c r="D43" s="1"/>
      <c r="E43" s="9"/>
      <c r="F43" s="10"/>
      <c r="G43" s="10" t="str">
        <f>IF(Junio[[#This Row],[COTIZACION]]="", "", Junio[[#This Row],[ARS]]/Junio[[#This Row],[COTIZACION]])</f>
        <v/>
      </c>
      <c r="H43" s="10"/>
    </row>
    <row r="44" spans="2:8" ht="15.5" x14ac:dyDescent="0.35">
      <c r="B44" s="9"/>
      <c r="C44" s="9"/>
      <c r="D44" s="1"/>
      <c r="E44" s="9"/>
      <c r="F44" s="10"/>
      <c r="G44" s="10" t="str">
        <f>IF(Junio[[#This Row],[COTIZACION]]="", "", Junio[[#This Row],[ARS]]/Junio[[#This Row],[COTIZACION]])</f>
        <v/>
      </c>
      <c r="H44" s="10"/>
    </row>
    <row r="45" spans="2:8" ht="15.5" x14ac:dyDescent="0.35">
      <c r="B45" s="9"/>
      <c r="C45" s="9"/>
      <c r="D45" s="1"/>
      <c r="E45" s="9"/>
      <c r="F45" s="10"/>
      <c r="G45" s="10" t="str">
        <f>IF(Junio[[#This Row],[COTIZACION]]="", "", Junio[[#This Row],[ARS]]/Junio[[#This Row],[COTIZACION]])</f>
        <v/>
      </c>
      <c r="H45" s="10"/>
    </row>
    <row r="46" spans="2:8" ht="15.5" x14ac:dyDescent="0.35">
      <c r="B46" s="9"/>
      <c r="C46" s="9"/>
      <c r="D46" s="1"/>
      <c r="E46" s="9"/>
      <c r="F46" s="10"/>
      <c r="G46" s="10" t="str">
        <f>IF(Junio[[#This Row],[COTIZACION]]="", "", Junio[[#This Row],[ARS]]/Junio[[#This Row],[COTIZACION]])</f>
        <v/>
      </c>
      <c r="H46" s="10"/>
    </row>
    <row r="47" spans="2:8" ht="15.5" x14ac:dyDescent="0.35">
      <c r="B47" s="9"/>
      <c r="C47" s="9"/>
      <c r="D47" s="1"/>
      <c r="E47" s="9"/>
      <c r="F47" s="10"/>
      <c r="G47" s="10" t="str">
        <f>IF(Junio[[#This Row],[COTIZACION]]="", "", Junio[[#This Row],[ARS]]/Junio[[#This Row],[COTIZACION]])</f>
        <v/>
      </c>
      <c r="H47" s="10"/>
    </row>
    <row r="48" spans="2:8" ht="15.5" x14ac:dyDescent="0.35">
      <c r="B48" s="9"/>
      <c r="C48" s="9"/>
      <c r="D48" s="1"/>
      <c r="E48" s="9"/>
      <c r="F48" s="10"/>
      <c r="G48" s="10" t="str">
        <f>IF(Junio[[#This Row],[COTIZACION]]="", "", Junio[[#This Row],[ARS]]/Junio[[#This Row],[COTIZACION]])</f>
        <v/>
      </c>
      <c r="H48" s="10"/>
    </row>
    <row r="49" spans="2:8" ht="15.5" x14ac:dyDescent="0.35">
      <c r="B49" s="9"/>
      <c r="C49" s="9"/>
      <c r="D49" s="1"/>
      <c r="E49" s="9"/>
      <c r="F49" s="10"/>
      <c r="G49" s="10" t="str">
        <f>IF(Junio[[#This Row],[COTIZACION]]="", "", Junio[[#This Row],[ARS]]/Junio[[#This Row],[COTIZACION]])</f>
        <v/>
      </c>
      <c r="H49" s="10"/>
    </row>
    <row r="50" spans="2:8" ht="15.5" x14ac:dyDescent="0.35">
      <c r="B50" s="9"/>
      <c r="C50" s="9"/>
      <c r="D50" s="1"/>
      <c r="E50" s="9"/>
      <c r="F50" s="10"/>
      <c r="G50" s="10" t="str">
        <f>IF(Junio[[#This Row],[COTIZACION]]="", "", Junio[[#This Row],[ARS]]/Junio[[#This Row],[COTIZACION]])</f>
        <v/>
      </c>
      <c r="H50" s="10"/>
    </row>
    <row r="51" spans="2:8" ht="15.5" x14ac:dyDescent="0.35">
      <c r="B51" s="9"/>
      <c r="C51" s="9"/>
      <c r="D51" s="1"/>
      <c r="E51" s="9"/>
      <c r="F51" s="10"/>
      <c r="G51" s="10" t="str">
        <f>IF(Junio[[#This Row],[COTIZACION]]="", "", Junio[[#This Row],[ARS]]/Junio[[#This Row],[COTIZACION]])</f>
        <v/>
      </c>
      <c r="H51" s="10"/>
    </row>
    <row r="52" spans="2:8" ht="15.5" x14ac:dyDescent="0.35">
      <c r="B52" s="9"/>
      <c r="C52" s="9"/>
      <c r="D52" s="1"/>
      <c r="E52" s="9"/>
      <c r="F52" s="10"/>
      <c r="G52" s="10" t="str">
        <f>IF(Junio[[#This Row],[COTIZACION]]="", "", Junio[[#This Row],[ARS]]/Junio[[#This Row],[COTIZACION]])</f>
        <v/>
      </c>
      <c r="H52" s="10"/>
    </row>
    <row r="53" spans="2:8" ht="15.5" x14ac:dyDescent="0.35">
      <c r="B53" s="9"/>
      <c r="C53" s="9"/>
      <c r="D53" s="1"/>
      <c r="E53" s="9"/>
      <c r="F53" s="10"/>
      <c r="G53" s="10" t="str">
        <f>IF(Junio[[#This Row],[COTIZACION]]="", "", Junio[[#This Row],[ARS]]/Junio[[#This Row],[COTIZACION]])</f>
        <v/>
      </c>
      <c r="H53" s="10"/>
    </row>
    <row r="54" spans="2:8" ht="15.5" x14ac:dyDescent="0.35">
      <c r="B54" s="9"/>
      <c r="C54" s="9"/>
      <c r="D54" s="1"/>
      <c r="E54" s="9"/>
      <c r="F54" s="10"/>
      <c r="G54" s="10" t="str">
        <f>IF(Junio[[#This Row],[COTIZACION]]="", "", Junio[[#This Row],[ARS]]/Junio[[#This Row],[COTIZACION]])</f>
        <v/>
      </c>
      <c r="H54" s="10"/>
    </row>
    <row r="55" spans="2:8" ht="15.5" x14ac:dyDescent="0.35">
      <c r="B55" s="9"/>
      <c r="C55" s="9"/>
      <c r="D55" s="1"/>
      <c r="E55" s="9"/>
      <c r="F55" s="10"/>
      <c r="G55" s="10" t="str">
        <f>IF(Junio[[#This Row],[COTIZACION]]="", "", Junio[[#This Row],[ARS]]/Junio[[#This Row],[COTIZACION]])</f>
        <v/>
      </c>
      <c r="H55" s="10"/>
    </row>
    <row r="56" spans="2:8" ht="15.5" x14ac:dyDescent="0.35">
      <c r="B56" s="9"/>
      <c r="C56" s="9"/>
      <c r="D56" s="1"/>
      <c r="E56" s="9"/>
      <c r="F56" s="10"/>
      <c r="G56" s="10" t="str">
        <f>IF(Junio[[#This Row],[COTIZACION]]="", "", Junio[[#This Row],[ARS]]/Junio[[#This Row],[COTIZACION]])</f>
        <v/>
      </c>
      <c r="H56" s="10"/>
    </row>
    <row r="57" spans="2:8" ht="15.5" x14ac:dyDescent="0.35">
      <c r="B57" s="9"/>
      <c r="C57" s="9"/>
      <c r="D57" s="1"/>
      <c r="E57" s="9"/>
      <c r="F57" s="10"/>
      <c r="G57" s="10" t="str">
        <f>IF(Junio[[#This Row],[COTIZACION]]="", "", Junio[[#This Row],[ARS]]/Junio[[#This Row],[COTIZACION]])</f>
        <v/>
      </c>
      <c r="H57" s="10"/>
    </row>
    <row r="58" spans="2:8" ht="15.5" x14ac:dyDescent="0.35">
      <c r="B58" s="9"/>
      <c r="C58" s="9"/>
      <c r="D58" s="1"/>
      <c r="E58" s="9"/>
      <c r="F58" s="10"/>
      <c r="G58" s="10" t="str">
        <f>IF(Junio[[#This Row],[COTIZACION]]="", "", Junio[[#This Row],[ARS]]/Junio[[#This Row],[COTIZACION]])</f>
        <v/>
      </c>
      <c r="H58" s="10"/>
    </row>
    <row r="59" spans="2:8" ht="15.5" x14ac:dyDescent="0.35">
      <c r="B59" s="9"/>
      <c r="C59" s="9"/>
      <c r="D59" s="1"/>
      <c r="E59" s="9"/>
      <c r="F59" s="10"/>
      <c r="G59" s="10" t="str">
        <f>IF(Junio[[#This Row],[COTIZACION]]="", "", Junio[[#This Row],[ARS]]/Junio[[#This Row],[COTIZACION]])</f>
        <v/>
      </c>
      <c r="H59" s="10"/>
    </row>
    <row r="60" spans="2:8" ht="15.5" x14ac:dyDescent="0.35">
      <c r="B60" s="9"/>
      <c r="C60" s="9"/>
      <c r="D60" s="1"/>
      <c r="E60" s="9"/>
      <c r="F60" s="10"/>
      <c r="G60" s="10" t="str">
        <f>IF(Junio[[#This Row],[COTIZACION]]="", "", Junio[[#This Row],[ARS]]/Junio[[#This Row],[COTIZACION]])</f>
        <v/>
      </c>
      <c r="H60" s="10"/>
    </row>
    <row r="61" spans="2:8" ht="15.5" x14ac:dyDescent="0.35">
      <c r="B61" s="9"/>
      <c r="C61" s="9"/>
      <c r="D61" s="1"/>
      <c r="E61" s="9"/>
      <c r="F61" s="10"/>
      <c r="G61" s="10" t="str">
        <f>IF(Junio[[#This Row],[COTIZACION]]="", "", Junio[[#This Row],[ARS]]/Junio[[#This Row],[COTIZACION]])</f>
        <v/>
      </c>
      <c r="H61" s="10"/>
    </row>
    <row r="62" spans="2:8" ht="15.5" x14ac:dyDescent="0.35">
      <c r="B62" s="9"/>
      <c r="C62" s="9"/>
      <c r="D62" s="1"/>
      <c r="E62" s="9"/>
      <c r="F62" s="10"/>
      <c r="G62" s="10" t="str">
        <f>IF(Junio[[#This Row],[COTIZACION]]="", "", Junio[[#This Row],[ARS]]/Junio[[#This Row],[COTIZACION]])</f>
        <v/>
      </c>
      <c r="H62" s="10"/>
    </row>
    <row r="63" spans="2:8" ht="15.5" x14ac:dyDescent="0.35">
      <c r="B63" s="9"/>
      <c r="C63" s="9"/>
      <c r="D63" s="1"/>
      <c r="E63" s="9"/>
      <c r="F63" s="10"/>
      <c r="G63" s="10" t="str">
        <f>IF(Junio[[#This Row],[COTIZACION]]="", "", Junio[[#This Row],[ARS]]/Junio[[#This Row],[COTIZACION]])</f>
        <v/>
      </c>
      <c r="H63" s="10"/>
    </row>
    <row r="64" spans="2:8" ht="15.5" x14ac:dyDescent="0.35">
      <c r="B64" s="9"/>
      <c r="C64" s="9"/>
      <c r="D64" s="1"/>
      <c r="E64" s="9"/>
      <c r="F64" s="10"/>
      <c r="G64" s="10" t="str">
        <f>IF(Junio[[#This Row],[COTIZACION]]="", "", Junio[[#This Row],[ARS]]/Junio[[#This Row],[COTIZACION]])</f>
        <v/>
      </c>
      <c r="H64" s="10"/>
    </row>
    <row r="65" spans="2:8" ht="15.5" x14ac:dyDescent="0.35">
      <c r="B65" s="9"/>
      <c r="C65" s="9"/>
      <c r="D65" s="1"/>
      <c r="E65" s="9"/>
      <c r="F65" s="10"/>
      <c r="G65" s="10" t="str">
        <f>IF(Junio[[#This Row],[COTIZACION]]="", "", Junio[[#This Row],[ARS]]/Junio[[#This Row],[COTIZACION]])</f>
        <v/>
      </c>
      <c r="H65" s="10"/>
    </row>
    <row r="66" spans="2:8" ht="15.5" x14ac:dyDescent="0.35">
      <c r="B66" s="9"/>
      <c r="C66" s="9"/>
      <c r="D66" s="1"/>
      <c r="E66" s="9"/>
      <c r="F66" s="10"/>
      <c r="G66" s="10" t="str">
        <f>IF(Junio[[#This Row],[COTIZACION]]="", "", Junio[[#This Row],[ARS]]/Junio[[#This Row],[COTIZACION]])</f>
        <v/>
      </c>
      <c r="H66" s="10"/>
    </row>
    <row r="67" spans="2:8" ht="15.5" x14ac:dyDescent="0.35">
      <c r="B67" s="9"/>
      <c r="C67" s="9"/>
      <c r="D67" s="1"/>
      <c r="E67" s="9"/>
      <c r="F67" s="10"/>
      <c r="G67" s="10" t="str">
        <f>IF(Junio[[#This Row],[COTIZACION]]="", "", Junio[[#This Row],[ARS]]/Junio[[#This Row],[COTIZACION]])</f>
        <v/>
      </c>
      <c r="H67" s="10"/>
    </row>
    <row r="68" spans="2:8" ht="15.5" x14ac:dyDescent="0.35">
      <c r="B68" s="9"/>
      <c r="C68" s="9"/>
      <c r="D68" s="1"/>
      <c r="E68" s="9"/>
      <c r="F68" s="10"/>
      <c r="G68" s="10" t="str">
        <f>IF(Junio[[#This Row],[COTIZACION]]="", "", Junio[[#This Row],[ARS]]/Junio[[#This Row],[COTIZACION]])</f>
        <v/>
      </c>
      <c r="H68" s="10"/>
    </row>
    <row r="69" spans="2:8" ht="15.5" x14ac:dyDescent="0.35">
      <c r="B69" s="9"/>
      <c r="C69" s="9"/>
      <c r="D69" s="1"/>
      <c r="E69" s="9"/>
      <c r="F69" s="10"/>
      <c r="G69" s="10" t="str">
        <f>IF(Junio[[#This Row],[COTIZACION]]="", "", Junio[[#This Row],[ARS]]/Junio[[#This Row],[COTIZACION]])</f>
        <v/>
      </c>
      <c r="H69" s="10"/>
    </row>
    <row r="70" spans="2:8" ht="15.5" x14ac:dyDescent="0.35">
      <c r="B70" s="9"/>
      <c r="C70" s="9"/>
      <c r="D70" s="1"/>
      <c r="E70" s="9"/>
      <c r="F70" s="10"/>
      <c r="G70" s="10" t="str">
        <f>IF(Junio[[#This Row],[COTIZACION]]="", "", Junio[[#This Row],[ARS]]/Junio[[#This Row],[COTIZACION]])</f>
        <v/>
      </c>
      <c r="H70" s="10"/>
    </row>
    <row r="71" spans="2:8" ht="15.5" x14ac:dyDescent="0.35">
      <c r="B71" s="9"/>
      <c r="C71" s="9"/>
      <c r="D71" s="1"/>
      <c r="E71" s="9"/>
      <c r="F71" s="10"/>
      <c r="G71" s="10" t="str">
        <f>IF(Junio[[#This Row],[COTIZACION]]="", "", Junio[[#This Row],[ARS]]/Junio[[#This Row],[COTIZACION]])</f>
        <v/>
      </c>
      <c r="H71" s="10"/>
    </row>
    <row r="72" spans="2:8" ht="15.5" x14ac:dyDescent="0.35">
      <c r="B72" s="9"/>
      <c r="C72" s="9"/>
      <c r="D72" s="1"/>
      <c r="E72" s="9"/>
      <c r="F72" s="10"/>
      <c r="G72" s="10" t="str">
        <f>IF(Junio[[#This Row],[COTIZACION]]="", "", Junio[[#This Row],[ARS]]/Junio[[#This Row],[COTIZACION]])</f>
        <v/>
      </c>
      <c r="H72" s="10"/>
    </row>
    <row r="73" spans="2:8" ht="15.5" x14ac:dyDescent="0.35">
      <c r="B73" s="9"/>
      <c r="C73" s="9"/>
      <c r="D73" s="1"/>
      <c r="E73" s="9"/>
      <c r="F73" s="10"/>
      <c r="G73" s="10" t="str">
        <f>IF(Junio[[#This Row],[COTIZACION]]="", "", Junio[[#This Row],[ARS]]/Junio[[#This Row],[COTIZACION]])</f>
        <v/>
      </c>
      <c r="H73" s="10"/>
    </row>
    <row r="74" spans="2:8" ht="15.5" x14ac:dyDescent="0.35">
      <c r="B74" s="9"/>
      <c r="C74" s="9"/>
      <c r="D74" s="1"/>
      <c r="E74" s="9"/>
      <c r="F74" s="10"/>
      <c r="G74" s="10" t="str">
        <f>IF(Junio[[#This Row],[COTIZACION]]="", "", Junio[[#This Row],[ARS]]/Junio[[#This Row],[COTIZACION]])</f>
        <v/>
      </c>
      <c r="H74" s="10"/>
    </row>
    <row r="75" spans="2:8" ht="15.5" x14ac:dyDescent="0.35">
      <c r="B75" s="9"/>
      <c r="C75" s="9"/>
      <c r="D75" s="1"/>
      <c r="E75" s="9"/>
      <c r="F75" s="10"/>
      <c r="G75" s="10" t="str">
        <f>IF(Junio[[#This Row],[COTIZACION]]="", "", Junio[[#This Row],[ARS]]/Junio[[#This Row],[COTIZACION]])</f>
        <v/>
      </c>
      <c r="H75" s="10"/>
    </row>
    <row r="76" spans="2:8" ht="15.5" x14ac:dyDescent="0.35">
      <c r="B76" s="9"/>
      <c r="C76" s="9"/>
      <c r="D76" s="1"/>
      <c r="E76" s="9"/>
      <c r="F76" s="10"/>
      <c r="G76" s="10" t="str">
        <f>IF(Junio[[#This Row],[COTIZACION]]="", "", Junio[[#This Row],[ARS]]/Junio[[#This Row],[COTIZACION]])</f>
        <v/>
      </c>
      <c r="H76" s="10"/>
    </row>
    <row r="77" spans="2:8" ht="15.5" x14ac:dyDescent="0.35">
      <c r="B77" s="9"/>
      <c r="C77" s="9"/>
      <c r="D77" s="1"/>
      <c r="E77" s="9"/>
      <c r="F77" s="10"/>
      <c r="G77" s="10" t="str">
        <f>IF(Junio[[#This Row],[COTIZACION]]="", "", Junio[[#This Row],[ARS]]/Junio[[#This Row],[COTIZACION]])</f>
        <v/>
      </c>
      <c r="H77" s="10"/>
    </row>
    <row r="78" spans="2:8" ht="15.5" x14ac:dyDescent="0.35">
      <c r="B78" s="9"/>
      <c r="C78" s="9"/>
      <c r="D78" s="1"/>
      <c r="E78" s="9"/>
      <c r="F78" s="10"/>
      <c r="G78" s="10" t="str">
        <f>IF(Junio[[#This Row],[COTIZACION]]="", "", Junio[[#This Row],[ARS]]/Junio[[#This Row],[COTIZACION]])</f>
        <v/>
      </c>
      <c r="H78" s="10"/>
    </row>
    <row r="79" spans="2:8" ht="15.5" x14ac:dyDescent="0.35">
      <c r="B79" s="35"/>
      <c r="C79" s="35"/>
      <c r="D79" s="36"/>
      <c r="E79" s="35"/>
      <c r="F79" s="37"/>
      <c r="G79" s="37" t="str">
        <f>IF(Junio[[#This Row],[COTIZACION]]="", "", Junio[[#This Row],[ARS]]/Junio[[#This Row],[COTIZACION]])</f>
        <v/>
      </c>
      <c r="H79" s="37"/>
    </row>
  </sheetData>
  <mergeCells count="1">
    <mergeCell ref="F1:H1"/>
  </mergeCells>
  <phoneticPr fontId="3" type="noConversion"/>
  <dataValidations count="2">
    <dataValidation type="list" allowBlank="1" showInputMessage="1" showErrorMessage="1" sqref="B6:B79" xr:uid="{00000000-0002-0000-0900-000000000000}">
      <formula1>Categorías</formula1>
    </dataValidation>
    <dataValidation type="list" allowBlank="1" showInputMessage="1" showErrorMessage="1" sqref="C6:C79" xr:uid="{00000000-0002-0000-0900-000001000000}">
      <formula1>INDIRECT($B6)</formula1>
    </dataValidation>
  </dataValidations>
  <pageMargins left="0.7" right="0.7" top="0.75" bottom="0.75" header="0.3" footer="0.3"/>
  <pageSetup paperSize="9" orientation="portrait" r:id="rId1"/>
  <ignoredErrors>
    <ignoredError sqref="H3:H4" unlockedFormula="1"/>
  </ignoredError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95"/>
  <sheetViews>
    <sheetView showGridLines="0" topLeftCell="B1" zoomScale="112" zoomScaleNormal="112" workbookViewId="0">
      <pane ySplit="5" topLeftCell="A6" activePane="bottomLeft" state="frozen"/>
      <selection activeCell="C32" sqref="C32"/>
      <selection pane="bottomLeft" activeCell="E15" sqref="E15"/>
    </sheetView>
  </sheetViews>
  <sheetFormatPr defaultColWidth="9.08984375" defaultRowHeight="14.5" x14ac:dyDescent="0.35"/>
  <cols>
    <col min="1" max="1" width="5.54296875" customWidth="1"/>
    <col min="2" max="2" width="23.08984375" customWidth="1"/>
    <col min="3" max="3" width="26.54296875" customWidth="1"/>
    <col min="4" max="4" width="12.6328125" style="2" customWidth="1"/>
    <col min="5" max="5" width="37" customWidth="1"/>
    <col min="6" max="8" width="17.36328125" style="3" customWidth="1"/>
    <col min="9" max="10" width="9.08984375" customWidth="1"/>
    <col min="11" max="11" width="9.08984375" style="2" customWidth="1"/>
    <col min="12" max="12" width="16.54296875" bestFit="1" customWidth="1"/>
    <col min="13" max="13" width="11.90625" bestFit="1" customWidth="1"/>
    <col min="14" max="14" width="15.54296875" bestFit="1" customWidth="1"/>
  </cols>
  <sheetData>
    <row r="1" spans="2:12" s="4" customFormat="1" ht="18.5" x14ac:dyDescent="0.45">
      <c r="B1" s="25" t="s">
        <v>34</v>
      </c>
      <c r="C1" s="25"/>
      <c r="D1" s="25"/>
      <c r="E1" s="25"/>
      <c r="F1" s="137" t="s">
        <v>22</v>
      </c>
      <c r="G1" s="137"/>
      <c r="H1" s="137"/>
      <c r="K1" s="5"/>
    </row>
    <row r="2" spans="2:12" s="6" customFormat="1" ht="15" customHeight="1" x14ac:dyDescent="0.35">
      <c r="B2" s="2"/>
      <c r="D2" s="8"/>
      <c r="E2" s="27" t="s">
        <v>59</v>
      </c>
      <c r="F2" s="28">
        <f>SUM(Julio[ARS])</f>
        <v>4428779</v>
      </c>
      <c r="G2" s="28">
        <f>SUM(Julio[USD])</f>
        <v>3562.1804861709256</v>
      </c>
      <c r="H2" s="28"/>
      <c r="K2" s="8"/>
    </row>
    <row r="3" spans="2:12" s="6" customFormat="1" ht="15" customHeight="1" x14ac:dyDescent="0.35">
      <c r="B3" s="2"/>
      <c r="D3" s="8"/>
      <c r="E3" s="27" t="s">
        <v>65</v>
      </c>
      <c r="F3" s="29">
        <f>MAX(Julio[ARS])</f>
        <v>1215000</v>
      </c>
      <c r="G3" s="29">
        <f>MAX(Julio[USD])</f>
        <v>1000</v>
      </c>
      <c r="H3" s="29">
        <f>MAX(Julio[COTIZACION])</f>
        <v>1290</v>
      </c>
      <c r="K3" s="8"/>
    </row>
    <row r="4" spans="2:12" s="6" customFormat="1" ht="15" customHeight="1" x14ac:dyDescent="0.35">
      <c r="B4" s="2"/>
      <c r="D4" s="8"/>
      <c r="E4" s="27" t="s">
        <v>66</v>
      </c>
      <c r="F4" s="29">
        <f>MIN(Julio[ARS])</f>
        <v>33000</v>
      </c>
      <c r="G4" s="29">
        <f>MIN(Julio[USD])</f>
        <v>41.152263374485599</v>
      </c>
      <c r="H4" s="29">
        <f>MIN(Julio[COTIZACION])</f>
        <v>1215</v>
      </c>
      <c r="K4" s="8"/>
    </row>
    <row r="5" spans="2:12" s="33" customFormat="1" ht="15.5" x14ac:dyDescent="0.35">
      <c r="B5" s="30" t="s">
        <v>35</v>
      </c>
      <c r="C5" s="30" t="s">
        <v>36</v>
      </c>
      <c r="D5" s="30" t="s">
        <v>37</v>
      </c>
      <c r="E5" s="30" t="s">
        <v>13</v>
      </c>
      <c r="F5" s="30" t="s">
        <v>64</v>
      </c>
      <c r="G5" s="30" t="s">
        <v>63</v>
      </c>
      <c r="H5" s="30" t="s">
        <v>62</v>
      </c>
      <c r="I5" s="32"/>
      <c r="K5" s="34"/>
      <c r="L5" s="11"/>
    </row>
    <row r="6" spans="2:12" ht="15.75" customHeight="1" x14ac:dyDescent="0.35">
      <c r="B6" s="9" t="s">
        <v>14</v>
      </c>
      <c r="C6" s="9" t="s">
        <v>72</v>
      </c>
      <c r="D6" s="1">
        <v>45784</v>
      </c>
      <c r="E6" s="9" t="s">
        <v>72</v>
      </c>
      <c r="F6" s="10">
        <v>945828</v>
      </c>
      <c r="G6" s="10">
        <f>IF(Julio[[#This Row],[COTIZACION]]="", "", Julio[[#This Row],[ARS]]/Julio[[#This Row],[COTIZACION]])</f>
        <v>778.45925925925928</v>
      </c>
      <c r="H6" s="10">
        <v>1215</v>
      </c>
    </row>
    <row r="7" spans="2:12" ht="15.75" customHeight="1" x14ac:dyDescent="0.35">
      <c r="B7" s="9" t="s">
        <v>85</v>
      </c>
      <c r="C7" s="9" t="s">
        <v>162</v>
      </c>
      <c r="D7" s="1">
        <v>45937</v>
      </c>
      <c r="E7" s="9" t="s">
        <v>180</v>
      </c>
      <c r="F7" s="10">
        <v>1215000</v>
      </c>
      <c r="G7" s="10">
        <v>1000</v>
      </c>
      <c r="H7" s="10">
        <v>1215</v>
      </c>
    </row>
    <row r="8" spans="2:12" ht="15.75" customHeight="1" x14ac:dyDescent="0.35">
      <c r="B8" s="96" t="s">
        <v>14</v>
      </c>
      <c r="C8" s="96" t="s">
        <v>76</v>
      </c>
      <c r="D8" s="97">
        <v>45845</v>
      </c>
      <c r="E8" s="96"/>
      <c r="F8" s="10">
        <v>70000</v>
      </c>
      <c r="G8" s="10">
        <f>IF(Julio[[#This Row],[COTIZACION]]="", "", Julio[[#This Row],[ARS]]/Julio[[#This Row],[COTIZACION]])</f>
        <v>57.613168724279838</v>
      </c>
      <c r="H8" s="98">
        <v>1215</v>
      </c>
    </row>
    <row r="9" spans="2:12" ht="15.75" customHeight="1" x14ac:dyDescent="0.35">
      <c r="B9" s="96" t="s">
        <v>0</v>
      </c>
      <c r="C9" s="96" t="s">
        <v>88</v>
      </c>
      <c r="D9" s="97" t="s">
        <v>218</v>
      </c>
      <c r="E9" s="96" t="s">
        <v>213</v>
      </c>
      <c r="F9" s="10">
        <v>969000</v>
      </c>
      <c r="G9" s="10">
        <f>IF(Julio[[#This Row],[COTIZACION]]="", "", Julio[[#This Row],[ARS]]/Julio[[#This Row],[COTIZACION]])</f>
        <v>751.16279069767438</v>
      </c>
      <c r="H9" s="98">
        <v>1290</v>
      </c>
    </row>
    <row r="10" spans="2:12" ht="15.5" x14ac:dyDescent="0.35">
      <c r="B10" s="9"/>
      <c r="C10" s="9"/>
      <c r="D10" s="108"/>
      <c r="E10" s="9"/>
      <c r="F10" s="10"/>
      <c r="G10" s="10" t="str">
        <f>IF(Julio[[#This Row],[COTIZACION]]="", "", Julio[[#This Row],[ARS]]/Julio[[#This Row],[COTIZACION]])</f>
        <v/>
      </c>
      <c r="H10" s="10"/>
    </row>
    <row r="11" spans="2:12" ht="15.5" x14ac:dyDescent="0.35">
      <c r="B11" s="9" t="s">
        <v>11</v>
      </c>
      <c r="C11" s="9" t="s">
        <v>74</v>
      </c>
      <c r="D11" s="1">
        <v>45754</v>
      </c>
      <c r="E11" s="9" t="s">
        <v>210</v>
      </c>
      <c r="F11" s="10">
        <v>950000</v>
      </c>
      <c r="G11" s="10">
        <f>IF(Julio[[#This Row],[COTIZACION]]="", "", Julio[[#This Row],[ARS]]/Julio[[#This Row],[COTIZACION]])</f>
        <v>781.89300411522629</v>
      </c>
      <c r="H11" s="10">
        <v>1215</v>
      </c>
    </row>
    <row r="12" spans="2:12" ht="15.5" x14ac:dyDescent="0.35">
      <c r="B12" s="9" t="s">
        <v>14</v>
      </c>
      <c r="C12" s="9" t="s">
        <v>33</v>
      </c>
      <c r="D12" s="97">
        <v>45784</v>
      </c>
      <c r="E12" s="9" t="s">
        <v>211</v>
      </c>
      <c r="F12" s="10">
        <v>50000</v>
      </c>
      <c r="G12" s="10">
        <f>IF(Julio[[#This Row],[COTIZACION]]="", "", Julio[[#This Row],[ARS]]/Julio[[#This Row],[COTIZACION]])</f>
        <v>41.152263374485599</v>
      </c>
      <c r="H12" s="10">
        <v>1215</v>
      </c>
    </row>
    <row r="13" spans="2:12" ht="15.5" x14ac:dyDescent="0.35">
      <c r="B13" s="9" t="s">
        <v>8</v>
      </c>
      <c r="C13" s="9" t="s">
        <v>106</v>
      </c>
      <c r="D13" s="1" t="s">
        <v>219</v>
      </c>
      <c r="E13" s="9" t="s">
        <v>220</v>
      </c>
      <c r="F13" s="10">
        <v>195951</v>
      </c>
      <c r="G13" s="10">
        <f>IF(Julio[[#This Row],[COTIZACION]]="", "", Julio[[#This Row],[ARS]]/Julio[[#This Row],[COTIZACION]])</f>
        <v>151.9</v>
      </c>
      <c r="H13" s="98">
        <v>1290</v>
      </c>
    </row>
    <row r="14" spans="2:12" ht="15.5" x14ac:dyDescent="0.35">
      <c r="B14" s="9"/>
      <c r="C14" s="9"/>
      <c r="D14" s="1"/>
      <c r="E14" s="9"/>
      <c r="F14" s="10"/>
      <c r="G14" s="10" t="str">
        <f>IF(Julio[[#This Row],[COTIZACION]]="", "", Julio[[#This Row],[ARS]]/Julio[[#This Row],[COTIZACION]])</f>
        <v/>
      </c>
      <c r="H14" s="10"/>
    </row>
    <row r="15" spans="2:12" ht="15.5" x14ac:dyDescent="0.35">
      <c r="B15" s="9"/>
      <c r="C15" s="9"/>
      <c r="D15" s="1"/>
      <c r="E15" s="9"/>
      <c r="F15" s="10"/>
      <c r="G15" s="10" t="str">
        <f>IF(Julio[[#This Row],[COTIZACION]]="", "", Julio[[#This Row],[ARS]]/Julio[[#This Row],[COTIZACION]])</f>
        <v/>
      </c>
      <c r="H15" s="10"/>
    </row>
    <row r="16" spans="2:12" ht="15.5" x14ac:dyDescent="0.35">
      <c r="B16" s="96"/>
      <c r="C16" s="96"/>
      <c r="D16" s="1"/>
      <c r="E16" s="9"/>
      <c r="F16" s="10"/>
      <c r="G16" s="10" t="str">
        <f>IF(Julio[[#This Row],[COTIZACION]]="", "", Julio[[#This Row],[ARS]]/Julio[[#This Row],[COTIZACION]])</f>
        <v/>
      </c>
      <c r="H16" s="10"/>
    </row>
    <row r="17" spans="2:8" ht="15.5" x14ac:dyDescent="0.35">
      <c r="B17" s="9"/>
      <c r="C17" s="9"/>
      <c r="D17" s="1"/>
      <c r="E17" s="9"/>
      <c r="F17" s="10"/>
      <c r="G17" s="10" t="str">
        <f>IF(Julio[[#This Row],[COTIZACION]]="", "", Julio[[#This Row],[ARS]]/Julio[[#This Row],[COTIZACION]])</f>
        <v/>
      </c>
      <c r="H17" s="10"/>
    </row>
    <row r="18" spans="2:8" ht="15.5" x14ac:dyDescent="0.35">
      <c r="B18" s="9"/>
      <c r="C18" s="9"/>
      <c r="D18" s="1"/>
      <c r="E18" s="9"/>
      <c r="F18" s="10"/>
      <c r="G18" s="10" t="str">
        <f>IF(Julio[[#This Row],[COTIZACION]]="", "", Julio[[#This Row],[ARS]]/Julio[[#This Row],[COTIZACION]])</f>
        <v/>
      </c>
      <c r="H18" s="10"/>
    </row>
    <row r="19" spans="2:8" ht="15.5" x14ac:dyDescent="0.35">
      <c r="B19" s="9"/>
      <c r="C19" s="9"/>
      <c r="D19" s="1"/>
      <c r="E19" s="9"/>
      <c r="F19" s="10"/>
      <c r="G19" s="10" t="str">
        <f>IF(Julio[[#This Row],[COTIZACION]]="", "", Julio[[#This Row],[ARS]]/Julio[[#This Row],[COTIZACION]])</f>
        <v/>
      </c>
      <c r="H19" s="10"/>
    </row>
    <row r="20" spans="2:8" ht="15.5" x14ac:dyDescent="0.35">
      <c r="B20" s="9"/>
      <c r="C20" s="9"/>
      <c r="D20" s="1"/>
      <c r="E20" s="9"/>
      <c r="F20" s="10"/>
      <c r="G20" s="10" t="str">
        <f>IF(Julio[[#This Row],[COTIZACION]]="", "", Julio[[#This Row],[ARS]]/Julio[[#This Row],[COTIZACION]])</f>
        <v/>
      </c>
      <c r="H20" s="10"/>
    </row>
    <row r="21" spans="2:8" ht="15.5" x14ac:dyDescent="0.35">
      <c r="B21" s="9"/>
      <c r="C21" s="9"/>
      <c r="D21" s="1"/>
      <c r="E21" s="9"/>
      <c r="F21" s="10"/>
      <c r="G21" s="10" t="str">
        <f>IF(Julio[[#This Row],[COTIZACION]]="", "", Julio[[#This Row],[ARS]]/Julio[[#This Row],[COTIZACION]])</f>
        <v/>
      </c>
      <c r="H21" s="10"/>
    </row>
    <row r="22" spans="2:8" ht="15.5" x14ac:dyDescent="0.35">
      <c r="B22" s="9"/>
      <c r="C22" s="9"/>
      <c r="D22" s="1"/>
      <c r="E22" s="9"/>
      <c r="F22" s="10"/>
      <c r="G22" s="10" t="str">
        <f>IF(Julio[[#This Row],[COTIZACION]]="", "", Julio[[#This Row],[ARS]]/Julio[[#This Row],[COTIZACION]])</f>
        <v/>
      </c>
      <c r="H22" s="10"/>
    </row>
    <row r="23" spans="2:8" ht="15.5" x14ac:dyDescent="0.35">
      <c r="B23" s="9"/>
      <c r="C23" s="9"/>
      <c r="D23" s="1"/>
      <c r="E23" s="9"/>
      <c r="F23" s="10"/>
      <c r="G23" s="10" t="str">
        <f>IF(Julio[[#This Row],[COTIZACION]]="", "", Julio[[#This Row],[ARS]]/Julio[[#This Row],[COTIZACION]])</f>
        <v/>
      </c>
      <c r="H23" s="10"/>
    </row>
    <row r="24" spans="2:8" ht="15.5" x14ac:dyDescent="0.35">
      <c r="B24" s="9"/>
      <c r="C24" s="9"/>
      <c r="D24" s="1"/>
      <c r="E24" s="9"/>
      <c r="F24" s="10"/>
      <c r="G24" s="10" t="str">
        <f>IF(Julio[[#This Row],[COTIZACION]]="", "", Julio[[#This Row],[ARS]]/Julio[[#This Row],[COTIZACION]])</f>
        <v/>
      </c>
      <c r="H24" s="10"/>
    </row>
    <row r="25" spans="2:8" ht="15.5" x14ac:dyDescent="0.35">
      <c r="B25" s="96"/>
      <c r="C25" s="96"/>
      <c r="D25" s="97"/>
      <c r="E25" s="96"/>
      <c r="F25" s="10"/>
      <c r="G25" s="10" t="str">
        <f>IF(Julio[[#This Row],[COTIZACION]]="", "", Julio[[#This Row],[ARS]]/Julio[[#This Row],[COTIZACION]])</f>
        <v/>
      </c>
      <c r="H25" s="98"/>
    </row>
    <row r="26" spans="2:8" ht="15.5" x14ac:dyDescent="0.35">
      <c r="B26" s="9"/>
      <c r="C26" s="9"/>
      <c r="D26" s="1"/>
      <c r="E26" s="9"/>
      <c r="F26" s="10"/>
      <c r="G26" s="10" t="str">
        <f>IF(Julio[[#This Row],[COTIZACION]]="", "", Julio[[#This Row],[ARS]]/Julio[[#This Row],[COTIZACION]])</f>
        <v/>
      </c>
      <c r="H26" s="10"/>
    </row>
    <row r="27" spans="2:8" ht="15.5" x14ac:dyDescent="0.35">
      <c r="B27" s="9"/>
      <c r="C27" s="9"/>
      <c r="D27" s="1"/>
      <c r="E27" s="9"/>
      <c r="F27" s="10"/>
      <c r="G27" s="10" t="str">
        <f>IF(Julio[[#This Row],[COTIZACION]]="", "", Julio[[#This Row],[ARS]]/Julio[[#This Row],[COTIZACION]])</f>
        <v/>
      </c>
      <c r="H27" s="10"/>
    </row>
    <row r="28" spans="2:8" ht="15.5" x14ac:dyDescent="0.35">
      <c r="B28" s="9"/>
      <c r="C28" s="9"/>
      <c r="D28" s="1"/>
      <c r="E28" s="9"/>
      <c r="F28" s="10"/>
      <c r="G28" s="10" t="str">
        <f>IF(Julio[[#This Row],[COTIZACION]]="", "", Julio[[#This Row],[ARS]]/Julio[[#This Row],[COTIZACION]])</f>
        <v/>
      </c>
      <c r="H28" s="10"/>
    </row>
    <row r="29" spans="2:8" ht="15.5" x14ac:dyDescent="0.35">
      <c r="B29" s="9"/>
      <c r="C29" s="9"/>
      <c r="D29" s="1"/>
      <c r="E29" s="9"/>
      <c r="F29" s="10"/>
      <c r="G29" s="10" t="str">
        <f>IF(Julio[[#This Row],[COTIZACION]]="", "", Julio[[#This Row],[ARS]]/Julio[[#This Row],[COTIZACION]])</f>
        <v/>
      </c>
      <c r="H29" s="10"/>
    </row>
    <row r="30" spans="2:8" ht="15.5" x14ac:dyDescent="0.35">
      <c r="B30" s="9"/>
      <c r="C30" s="9"/>
      <c r="D30" s="1"/>
      <c r="E30" s="9"/>
      <c r="F30" s="10"/>
      <c r="G30" s="10" t="str">
        <f>IF(Julio[[#This Row],[COTIZACION]]="", "", Julio[[#This Row],[ARS]]/Julio[[#This Row],[COTIZACION]])</f>
        <v/>
      </c>
      <c r="H30" s="10"/>
    </row>
    <row r="31" spans="2:8" ht="15.5" x14ac:dyDescent="0.35">
      <c r="B31" s="9" t="s">
        <v>14</v>
      </c>
      <c r="C31" s="9" t="s">
        <v>10</v>
      </c>
      <c r="D31" s="1" t="s">
        <v>198</v>
      </c>
      <c r="E31" s="9" t="s">
        <v>186</v>
      </c>
      <c r="F31" s="10">
        <v>33000</v>
      </c>
      <c r="G31" s="10" t="str">
        <f>IF(Julio[[#This Row],[COTIZACION]]="", "", Julio[[#This Row],[ARS]]/Julio[[#This Row],[COTIZACION]])</f>
        <v/>
      </c>
      <c r="H31" s="10"/>
    </row>
    <row r="32" spans="2:8" ht="15.5" x14ac:dyDescent="0.35">
      <c r="B32" s="9"/>
      <c r="C32" s="9"/>
      <c r="D32" s="1"/>
      <c r="E32" s="9"/>
      <c r="F32" s="10"/>
      <c r="G32" s="10" t="str">
        <f>IF(Julio[[#This Row],[COTIZACION]]="", "", Julio[[#This Row],[ARS]]/Julio[[#This Row],[COTIZACION]])</f>
        <v/>
      </c>
      <c r="H32" s="10"/>
    </row>
    <row r="33" spans="2:8" ht="15.5" x14ac:dyDescent="0.35">
      <c r="B33" s="9"/>
      <c r="C33" s="9"/>
      <c r="D33" s="1"/>
      <c r="E33" s="9"/>
      <c r="F33" s="10"/>
      <c r="G33" s="10" t="str">
        <f>IF(Julio[[#This Row],[COTIZACION]]="", "", Julio[[#This Row],[ARS]]/Julio[[#This Row],[COTIZACION]])</f>
        <v/>
      </c>
      <c r="H33" s="10"/>
    </row>
    <row r="34" spans="2:8" ht="15.5" x14ac:dyDescent="0.35">
      <c r="B34" s="9"/>
      <c r="C34" s="9"/>
      <c r="D34" s="1"/>
      <c r="E34" s="9"/>
      <c r="F34" s="10"/>
      <c r="G34" s="10" t="str">
        <f>IF(Julio[[#This Row],[COTIZACION]]="", "", Julio[[#This Row],[ARS]]/Julio[[#This Row],[COTIZACION]])</f>
        <v/>
      </c>
      <c r="H34" s="10"/>
    </row>
    <row r="35" spans="2:8" ht="15.5" x14ac:dyDescent="0.35">
      <c r="B35" s="9"/>
      <c r="C35" s="9"/>
      <c r="D35" s="1"/>
      <c r="E35" s="9"/>
      <c r="F35" s="10"/>
      <c r="G35" s="10" t="str">
        <f>IF(Julio[[#This Row],[COTIZACION]]="", "", Julio[[#This Row],[ARS]]/Julio[[#This Row],[COTIZACION]])</f>
        <v/>
      </c>
      <c r="H35" s="10"/>
    </row>
    <row r="36" spans="2:8" ht="15.5" x14ac:dyDescent="0.35">
      <c r="B36" s="9"/>
      <c r="C36" s="9"/>
      <c r="D36" s="1"/>
      <c r="E36" s="9"/>
      <c r="F36" s="10"/>
      <c r="G36" s="10" t="str">
        <f>IF(Julio[[#This Row],[COTIZACION]]="", "", Julio[[#This Row],[ARS]]/Julio[[#This Row],[COTIZACION]])</f>
        <v/>
      </c>
      <c r="H36" s="10"/>
    </row>
    <row r="37" spans="2:8" ht="15.5" x14ac:dyDescent="0.35">
      <c r="B37" s="9"/>
      <c r="C37" s="9"/>
      <c r="D37" s="1"/>
      <c r="E37" s="9"/>
      <c r="F37" s="10"/>
      <c r="G37" s="10" t="str">
        <f>IF(Julio[[#This Row],[COTIZACION]]="", "", Julio[[#This Row],[ARS]]/Julio[[#This Row],[COTIZACION]])</f>
        <v/>
      </c>
      <c r="H37" s="10"/>
    </row>
    <row r="38" spans="2:8" ht="15.5" x14ac:dyDescent="0.35">
      <c r="B38" s="9"/>
      <c r="C38" s="9"/>
      <c r="D38" s="1"/>
      <c r="E38" s="9"/>
      <c r="F38" s="10"/>
      <c r="G38" s="10" t="str">
        <f>IF(Julio[[#This Row],[COTIZACION]]="", "", Julio[[#This Row],[ARS]]/Julio[[#This Row],[COTIZACION]])</f>
        <v/>
      </c>
      <c r="H38" s="10"/>
    </row>
    <row r="39" spans="2:8" ht="15.5" x14ac:dyDescent="0.35">
      <c r="B39" s="9"/>
      <c r="C39" s="9"/>
      <c r="D39" s="1"/>
      <c r="E39" s="9"/>
      <c r="F39" s="10"/>
      <c r="G39" s="10" t="str">
        <f>IF(Julio[[#This Row],[COTIZACION]]="", "", Julio[[#This Row],[ARS]]/Julio[[#This Row],[COTIZACION]])</f>
        <v/>
      </c>
      <c r="H39" s="10"/>
    </row>
    <row r="41" spans="2:8" ht="15.5" x14ac:dyDescent="0.35">
      <c r="B41" s="9"/>
      <c r="C41" s="9"/>
      <c r="D41" s="1"/>
      <c r="E41" s="9"/>
      <c r="F41" s="10"/>
      <c r="G41" s="10" t="str">
        <f>IF(Julio[[#This Row],[COTIZACION]]="", "", Julio[[#This Row],[ARS]]/Julio[[#This Row],[COTIZACION]])</f>
        <v/>
      </c>
      <c r="H41" s="10"/>
    </row>
    <row r="42" spans="2:8" ht="15.5" x14ac:dyDescent="0.35">
      <c r="B42" s="9"/>
      <c r="C42" s="9"/>
      <c r="D42" s="1"/>
      <c r="E42" s="9"/>
      <c r="F42" s="10"/>
      <c r="G42" s="10" t="str">
        <f>IF(Julio[[#This Row],[COTIZACION]]="", "", Julio[[#This Row],[ARS]]/Julio[[#This Row],[COTIZACION]])</f>
        <v/>
      </c>
      <c r="H42" s="10"/>
    </row>
    <row r="43" spans="2:8" ht="15.5" x14ac:dyDescent="0.35">
      <c r="B43" s="9"/>
      <c r="C43" s="9"/>
      <c r="D43" s="1"/>
      <c r="E43" s="9"/>
      <c r="F43" s="10"/>
      <c r="G43" s="10" t="str">
        <f>IF(Julio[[#This Row],[COTIZACION]]="", "", Julio[[#This Row],[ARS]]/Julio[[#This Row],[COTIZACION]])</f>
        <v/>
      </c>
      <c r="H43" s="10"/>
    </row>
    <row r="44" spans="2:8" ht="15.5" x14ac:dyDescent="0.35">
      <c r="B44" s="9"/>
      <c r="C44" s="9"/>
      <c r="D44" s="1"/>
      <c r="E44" s="9"/>
      <c r="F44" s="10"/>
      <c r="G44" s="10" t="str">
        <f>IF(Julio[[#This Row],[COTIZACION]]="", "", Julio[[#This Row],[ARS]]/Julio[[#This Row],[COTIZACION]])</f>
        <v/>
      </c>
      <c r="H44" s="10"/>
    </row>
    <row r="45" spans="2:8" ht="15.5" x14ac:dyDescent="0.35">
      <c r="B45" s="9"/>
      <c r="C45" s="9"/>
      <c r="D45" s="1"/>
      <c r="E45" s="9"/>
      <c r="F45" s="10"/>
      <c r="G45" s="10" t="str">
        <f>IF(Julio[[#This Row],[COTIZACION]]="", "", Julio[[#This Row],[ARS]]/Julio[[#This Row],[COTIZACION]])</f>
        <v/>
      </c>
      <c r="H45" s="10"/>
    </row>
    <row r="46" spans="2:8" ht="15.5" x14ac:dyDescent="0.35">
      <c r="B46" s="9"/>
      <c r="C46" s="9"/>
      <c r="D46" s="1"/>
      <c r="E46" s="9"/>
      <c r="F46" s="10"/>
      <c r="G46" s="10" t="str">
        <f>IF(Julio[[#This Row],[COTIZACION]]="", "", Julio[[#This Row],[ARS]]/Julio[[#This Row],[COTIZACION]])</f>
        <v/>
      </c>
      <c r="H46" s="10"/>
    </row>
    <row r="47" spans="2:8" ht="15.5" x14ac:dyDescent="0.35">
      <c r="B47" s="9"/>
      <c r="C47" s="9"/>
      <c r="D47" s="1"/>
      <c r="E47" s="9"/>
      <c r="F47" s="10"/>
      <c r="G47" s="10" t="str">
        <f>IF(Julio[[#This Row],[COTIZACION]]="", "", Julio[[#This Row],[ARS]]/Julio[[#This Row],[COTIZACION]])</f>
        <v/>
      </c>
      <c r="H47" s="10"/>
    </row>
    <row r="48" spans="2:8" ht="15.5" x14ac:dyDescent="0.35">
      <c r="B48" s="9"/>
      <c r="C48" s="9"/>
      <c r="D48" s="1"/>
      <c r="E48" s="9"/>
      <c r="F48" s="10"/>
      <c r="G48" s="10" t="str">
        <f>IF(Julio[[#This Row],[COTIZACION]]="", "", Julio[[#This Row],[ARS]]/Julio[[#This Row],[COTIZACION]])</f>
        <v/>
      </c>
      <c r="H48" s="10"/>
    </row>
    <row r="49" spans="2:8" ht="15.5" x14ac:dyDescent="0.35">
      <c r="B49" s="9"/>
      <c r="C49" s="9"/>
      <c r="D49" s="1"/>
      <c r="E49" s="9"/>
      <c r="F49" s="10"/>
      <c r="G49" s="10" t="str">
        <f>IF(Julio[[#This Row],[COTIZACION]]="", "", Julio[[#This Row],[ARS]]/Julio[[#This Row],[COTIZACION]])</f>
        <v/>
      </c>
      <c r="H49" s="10"/>
    </row>
    <row r="50" spans="2:8" ht="15.5" x14ac:dyDescent="0.35">
      <c r="B50" s="9"/>
      <c r="C50" s="9"/>
      <c r="D50" s="1"/>
      <c r="E50" s="9"/>
      <c r="F50" s="10"/>
      <c r="G50" s="10" t="str">
        <f>IF(Julio[[#This Row],[COTIZACION]]="", "", Julio[[#This Row],[ARS]]/Julio[[#This Row],[COTIZACION]])</f>
        <v/>
      </c>
      <c r="H50" s="10"/>
    </row>
    <row r="51" spans="2:8" ht="15.5" x14ac:dyDescent="0.35">
      <c r="B51" s="9"/>
      <c r="C51" s="9"/>
      <c r="D51" s="1"/>
      <c r="E51" s="9"/>
      <c r="F51" s="10"/>
      <c r="G51" s="10" t="str">
        <f>IF(Julio[[#This Row],[COTIZACION]]="", "", Julio[[#This Row],[ARS]]/Julio[[#This Row],[COTIZACION]])</f>
        <v/>
      </c>
      <c r="H51" s="10"/>
    </row>
    <row r="52" spans="2:8" ht="15.5" x14ac:dyDescent="0.35">
      <c r="B52" s="9"/>
      <c r="C52" s="9"/>
      <c r="D52" s="1"/>
      <c r="E52" s="9"/>
      <c r="F52" s="10"/>
      <c r="G52" s="10" t="str">
        <f>IF(Julio[[#This Row],[COTIZACION]]="", "", Julio[[#This Row],[ARS]]/Julio[[#This Row],[COTIZACION]])</f>
        <v/>
      </c>
      <c r="H52" s="10"/>
    </row>
    <row r="53" spans="2:8" ht="15.5" x14ac:dyDescent="0.35">
      <c r="B53" s="9"/>
      <c r="C53" s="9"/>
      <c r="D53" s="1"/>
      <c r="E53" s="9"/>
      <c r="F53" s="10"/>
      <c r="G53" s="10" t="str">
        <f>IF(Julio[[#This Row],[COTIZACION]]="", "", Julio[[#This Row],[ARS]]/Julio[[#This Row],[COTIZACION]])</f>
        <v/>
      </c>
      <c r="H53" s="10"/>
    </row>
    <row r="54" spans="2:8" ht="15.5" x14ac:dyDescent="0.35">
      <c r="B54" s="9"/>
      <c r="C54" s="9"/>
      <c r="D54" s="1"/>
      <c r="E54" s="9"/>
      <c r="F54" s="10"/>
      <c r="G54" s="10" t="str">
        <f>IF(Julio[[#This Row],[COTIZACION]]="", "", Julio[[#This Row],[ARS]]/Julio[[#This Row],[COTIZACION]])</f>
        <v/>
      </c>
      <c r="H54" s="10"/>
    </row>
    <row r="55" spans="2:8" ht="15.5" x14ac:dyDescent="0.35">
      <c r="B55" s="9"/>
      <c r="C55" s="9"/>
      <c r="D55" s="1"/>
      <c r="E55" s="9"/>
      <c r="F55" s="10"/>
      <c r="G55" s="10" t="str">
        <f>IF(Julio[[#This Row],[COTIZACION]]="", "", Julio[[#This Row],[ARS]]/Julio[[#This Row],[COTIZACION]])</f>
        <v/>
      </c>
      <c r="H55" s="10"/>
    </row>
    <row r="56" spans="2:8" ht="15.5" x14ac:dyDescent="0.35">
      <c r="B56" s="9"/>
      <c r="C56" s="9"/>
      <c r="D56" s="1"/>
      <c r="E56" s="9"/>
      <c r="F56" s="10"/>
      <c r="G56" s="10" t="str">
        <f>IF(Julio[[#This Row],[COTIZACION]]="", "", Julio[[#This Row],[ARS]]/Julio[[#This Row],[COTIZACION]])</f>
        <v/>
      </c>
      <c r="H56" s="10"/>
    </row>
    <row r="57" spans="2:8" ht="15.5" x14ac:dyDescent="0.35">
      <c r="B57" s="9"/>
      <c r="C57" s="9"/>
      <c r="D57" s="1"/>
      <c r="E57" s="9"/>
      <c r="F57" s="10"/>
      <c r="G57" s="10" t="str">
        <f>IF(Julio[[#This Row],[COTIZACION]]="", "", Julio[[#This Row],[ARS]]/Julio[[#This Row],[COTIZACION]])</f>
        <v/>
      </c>
      <c r="H57" s="10"/>
    </row>
    <row r="58" spans="2:8" ht="15.5" x14ac:dyDescent="0.35">
      <c r="B58" s="9"/>
      <c r="C58" s="9"/>
      <c r="D58" s="1"/>
      <c r="E58" s="9"/>
      <c r="F58" s="10"/>
      <c r="G58" s="10" t="str">
        <f>IF(Julio[[#This Row],[COTIZACION]]="", "", Julio[[#This Row],[ARS]]/Julio[[#This Row],[COTIZACION]])</f>
        <v/>
      </c>
      <c r="H58" s="10"/>
    </row>
    <row r="59" spans="2:8" ht="15.5" x14ac:dyDescent="0.35">
      <c r="B59" s="9"/>
      <c r="C59" s="9"/>
      <c r="D59" s="1"/>
      <c r="E59" s="9"/>
      <c r="F59" s="10"/>
      <c r="G59" s="10" t="str">
        <f>IF(Julio[[#This Row],[COTIZACION]]="", "", Julio[[#This Row],[ARS]]/Julio[[#This Row],[COTIZACION]])</f>
        <v/>
      </c>
      <c r="H59" s="10"/>
    </row>
    <row r="60" spans="2:8" ht="15.5" x14ac:dyDescent="0.35">
      <c r="B60" s="9"/>
      <c r="C60" s="9"/>
      <c r="D60" s="1"/>
      <c r="E60" s="9"/>
      <c r="F60" s="10"/>
      <c r="G60" s="10" t="str">
        <f>IF(Julio[[#This Row],[COTIZACION]]="", "", Julio[[#This Row],[ARS]]/Julio[[#This Row],[COTIZACION]])</f>
        <v/>
      </c>
      <c r="H60" s="10"/>
    </row>
    <row r="61" spans="2:8" ht="15.5" x14ac:dyDescent="0.35">
      <c r="B61" s="9"/>
      <c r="C61" s="9"/>
      <c r="D61" s="1"/>
      <c r="E61" s="9"/>
      <c r="F61" s="10"/>
      <c r="G61" s="10" t="str">
        <f>IF(Julio[[#This Row],[COTIZACION]]="", "", Julio[[#This Row],[ARS]]/Julio[[#This Row],[COTIZACION]])</f>
        <v/>
      </c>
      <c r="H61" s="10"/>
    </row>
    <row r="62" spans="2:8" ht="15.5" x14ac:dyDescent="0.35">
      <c r="B62" s="9"/>
      <c r="C62" s="9"/>
      <c r="D62" s="1"/>
      <c r="E62" s="9"/>
      <c r="F62" s="10"/>
      <c r="G62" s="10" t="str">
        <f>IF(Julio[[#This Row],[COTIZACION]]="", "", Julio[[#This Row],[ARS]]/Julio[[#This Row],[COTIZACION]])</f>
        <v/>
      </c>
      <c r="H62" s="10"/>
    </row>
    <row r="63" spans="2:8" ht="15.5" x14ac:dyDescent="0.35">
      <c r="B63" s="9"/>
      <c r="C63" s="9"/>
      <c r="D63" s="1"/>
      <c r="E63" s="9"/>
      <c r="F63" s="10"/>
      <c r="G63" s="10" t="str">
        <f>IF(Julio[[#This Row],[COTIZACION]]="", "", Julio[[#This Row],[ARS]]/Julio[[#This Row],[COTIZACION]])</f>
        <v/>
      </c>
      <c r="H63" s="10"/>
    </row>
    <row r="64" spans="2:8" ht="15.5" x14ac:dyDescent="0.35">
      <c r="B64" s="9"/>
      <c r="C64" s="9"/>
      <c r="D64" s="1"/>
      <c r="E64" s="9"/>
      <c r="F64" s="10"/>
      <c r="G64" s="10" t="str">
        <f>IF(Julio[[#This Row],[COTIZACION]]="", "", Julio[[#This Row],[ARS]]/Julio[[#This Row],[COTIZACION]])</f>
        <v/>
      </c>
      <c r="H64" s="10"/>
    </row>
    <row r="65" spans="2:8" ht="15.5" x14ac:dyDescent="0.35">
      <c r="B65" s="9"/>
      <c r="C65" s="9"/>
      <c r="D65" s="1"/>
      <c r="E65" s="9"/>
      <c r="F65" s="10"/>
      <c r="G65" s="10" t="str">
        <f>IF(Julio[[#This Row],[COTIZACION]]="", "", Julio[[#This Row],[ARS]]/Julio[[#This Row],[COTIZACION]])</f>
        <v/>
      </c>
      <c r="H65" s="10"/>
    </row>
    <row r="66" spans="2:8" ht="15.5" x14ac:dyDescent="0.35">
      <c r="B66" s="9"/>
      <c r="C66" s="9"/>
      <c r="D66" s="1"/>
      <c r="E66" s="9"/>
      <c r="F66" s="10"/>
      <c r="G66" s="10" t="str">
        <f>IF(Julio[[#This Row],[COTIZACION]]="", "", Julio[[#This Row],[ARS]]/Julio[[#This Row],[COTIZACION]])</f>
        <v/>
      </c>
      <c r="H66" s="10"/>
    </row>
    <row r="67" spans="2:8" ht="15.5" x14ac:dyDescent="0.35">
      <c r="B67" s="9"/>
      <c r="C67" s="9"/>
      <c r="D67" s="1"/>
      <c r="E67" s="9"/>
      <c r="F67" s="10"/>
      <c r="G67" s="10" t="str">
        <f>IF(Julio[[#This Row],[COTIZACION]]="", "", Julio[[#This Row],[ARS]]/Julio[[#This Row],[COTIZACION]])</f>
        <v/>
      </c>
      <c r="H67" s="10"/>
    </row>
    <row r="68" spans="2:8" ht="15.5" x14ac:dyDescent="0.35">
      <c r="B68" s="9"/>
      <c r="C68" s="9"/>
      <c r="D68" s="1"/>
      <c r="E68" s="9"/>
      <c r="F68" s="10"/>
      <c r="G68" s="10" t="str">
        <f>IF(Julio[[#This Row],[COTIZACION]]="", "", Julio[[#This Row],[ARS]]/Julio[[#This Row],[COTIZACION]])</f>
        <v/>
      </c>
      <c r="H68" s="10"/>
    </row>
    <row r="69" spans="2:8" ht="15.5" x14ac:dyDescent="0.35">
      <c r="B69" s="9"/>
      <c r="C69" s="9"/>
      <c r="D69" s="1"/>
      <c r="E69" s="9"/>
      <c r="F69" s="10"/>
      <c r="G69" s="10" t="str">
        <f>IF(Julio[[#This Row],[COTIZACION]]="", "", Julio[[#This Row],[ARS]]/Julio[[#This Row],[COTIZACION]])</f>
        <v/>
      </c>
      <c r="H69" s="10"/>
    </row>
    <row r="70" spans="2:8" ht="15.5" x14ac:dyDescent="0.35">
      <c r="B70" s="9"/>
      <c r="C70" s="9"/>
      <c r="D70" s="1"/>
      <c r="E70" s="9"/>
      <c r="F70" s="10"/>
      <c r="G70" s="10" t="str">
        <f>IF(Julio[[#This Row],[COTIZACION]]="", "", Julio[[#This Row],[ARS]]/Julio[[#This Row],[COTIZACION]])</f>
        <v/>
      </c>
      <c r="H70" s="10"/>
    </row>
    <row r="71" spans="2:8" ht="15.5" x14ac:dyDescent="0.35">
      <c r="B71" s="9"/>
      <c r="C71" s="9"/>
      <c r="D71" s="1"/>
      <c r="E71" s="9"/>
      <c r="F71" s="10"/>
      <c r="G71" s="10" t="str">
        <f>IF(Julio[[#This Row],[COTIZACION]]="", "", Julio[[#This Row],[ARS]]/Julio[[#This Row],[COTIZACION]])</f>
        <v/>
      </c>
      <c r="H71" s="10"/>
    </row>
    <row r="72" spans="2:8" ht="15.5" x14ac:dyDescent="0.35">
      <c r="B72" s="9"/>
      <c r="C72" s="9"/>
      <c r="D72" s="1"/>
      <c r="E72" s="9"/>
      <c r="F72" s="10"/>
      <c r="G72" s="10" t="str">
        <f>IF(Julio[[#This Row],[COTIZACION]]="", "", Julio[[#This Row],[ARS]]/Julio[[#This Row],[COTIZACION]])</f>
        <v/>
      </c>
      <c r="H72" s="10"/>
    </row>
    <row r="73" spans="2:8" ht="15.5" x14ac:dyDescent="0.35">
      <c r="B73" s="9"/>
      <c r="C73" s="9"/>
      <c r="D73" s="1"/>
      <c r="E73" s="9"/>
      <c r="F73" s="10"/>
      <c r="G73" s="10" t="str">
        <f>IF(Julio[[#This Row],[COTIZACION]]="", "", Julio[[#This Row],[ARS]]/Julio[[#This Row],[COTIZACION]])</f>
        <v/>
      </c>
      <c r="H73" s="10"/>
    </row>
    <row r="74" spans="2:8" ht="15.5" x14ac:dyDescent="0.35">
      <c r="B74" s="9"/>
      <c r="C74" s="9"/>
      <c r="D74" s="1"/>
      <c r="E74" s="9"/>
      <c r="F74" s="10"/>
      <c r="G74" s="10" t="str">
        <f>IF(Julio[[#This Row],[COTIZACION]]="", "", Julio[[#This Row],[ARS]]/Julio[[#This Row],[COTIZACION]])</f>
        <v/>
      </c>
      <c r="H74" s="10"/>
    </row>
    <row r="75" spans="2:8" ht="15.5" x14ac:dyDescent="0.35">
      <c r="B75" s="9"/>
      <c r="C75" s="9"/>
      <c r="D75" s="1"/>
      <c r="E75" s="9"/>
      <c r="F75" s="10"/>
      <c r="G75" s="10" t="str">
        <f>IF(Julio[[#This Row],[COTIZACION]]="", "", Julio[[#This Row],[ARS]]/Julio[[#This Row],[COTIZACION]])</f>
        <v/>
      </c>
      <c r="H75" s="10"/>
    </row>
    <row r="76" spans="2:8" ht="15.5" x14ac:dyDescent="0.35">
      <c r="B76" s="9"/>
      <c r="C76" s="9"/>
      <c r="D76" s="1"/>
      <c r="E76" s="9"/>
      <c r="F76" s="10"/>
      <c r="G76" s="10" t="str">
        <f>IF(Julio[[#This Row],[COTIZACION]]="", "", Julio[[#This Row],[ARS]]/Julio[[#This Row],[COTIZACION]])</f>
        <v/>
      </c>
      <c r="H76" s="10"/>
    </row>
    <row r="77" spans="2:8" ht="15.5" x14ac:dyDescent="0.35">
      <c r="B77" s="9"/>
      <c r="C77" s="9"/>
      <c r="D77" s="1"/>
      <c r="E77" s="9"/>
      <c r="F77" s="10"/>
      <c r="G77" s="10" t="str">
        <f>IF(Julio[[#This Row],[COTIZACION]]="", "", Julio[[#This Row],[ARS]]/Julio[[#This Row],[COTIZACION]])</f>
        <v/>
      </c>
      <c r="H77" s="10"/>
    </row>
    <row r="78" spans="2:8" ht="15.5" x14ac:dyDescent="0.35">
      <c r="B78" s="9"/>
      <c r="C78" s="9"/>
      <c r="D78" s="1"/>
      <c r="E78" s="9"/>
      <c r="F78" s="10"/>
      <c r="G78" s="10" t="str">
        <f>IF(Julio[[#This Row],[COTIZACION]]="", "", Julio[[#This Row],[ARS]]/Julio[[#This Row],[COTIZACION]])</f>
        <v/>
      </c>
      <c r="H78" s="10"/>
    </row>
    <row r="79" spans="2:8" ht="15.5" x14ac:dyDescent="0.35">
      <c r="B79" s="9"/>
      <c r="C79" s="9"/>
      <c r="D79" s="1"/>
      <c r="E79" s="9"/>
      <c r="F79" s="10"/>
      <c r="G79" s="10" t="str">
        <f>IF(Julio[[#This Row],[COTIZACION]]="", "", Julio[[#This Row],[ARS]]/Julio[[#This Row],[COTIZACION]])</f>
        <v/>
      </c>
      <c r="H79" s="10"/>
    </row>
    <row r="80" spans="2:8" ht="15.5" x14ac:dyDescent="0.35">
      <c r="B80" s="9"/>
      <c r="C80" s="9"/>
      <c r="D80" s="1"/>
      <c r="E80" s="9"/>
      <c r="F80" s="10"/>
      <c r="G80" s="10" t="str">
        <f>IF(Julio[[#This Row],[COTIZACION]]="", "", Julio[[#This Row],[ARS]]/Julio[[#This Row],[COTIZACION]])</f>
        <v/>
      </c>
      <c r="H80" s="10"/>
    </row>
    <row r="81" spans="2:8" ht="15.5" x14ac:dyDescent="0.35">
      <c r="B81" s="9"/>
      <c r="C81" s="9"/>
      <c r="D81" s="1"/>
      <c r="E81" s="9"/>
      <c r="F81" s="10"/>
      <c r="G81" s="10" t="str">
        <f>IF(Julio[[#This Row],[COTIZACION]]="", "", Julio[[#This Row],[ARS]]/Julio[[#This Row],[COTIZACION]])</f>
        <v/>
      </c>
      <c r="H81" s="10"/>
    </row>
    <row r="82" spans="2:8" ht="15.5" x14ac:dyDescent="0.35">
      <c r="B82" s="9"/>
      <c r="C82" s="9"/>
      <c r="D82" s="1"/>
      <c r="E82" s="9"/>
      <c r="F82" s="10"/>
      <c r="G82" s="10" t="str">
        <f>IF(Julio[[#This Row],[COTIZACION]]="", "", Julio[[#This Row],[ARS]]/Julio[[#This Row],[COTIZACION]])</f>
        <v/>
      </c>
      <c r="H82" s="10"/>
    </row>
    <row r="83" spans="2:8" ht="15.5" x14ac:dyDescent="0.35">
      <c r="B83" s="9"/>
      <c r="C83" s="9"/>
      <c r="D83" s="1"/>
      <c r="E83" s="9"/>
      <c r="F83" s="10"/>
      <c r="G83" s="10" t="str">
        <f>IF(Julio[[#This Row],[COTIZACION]]="", "", Julio[[#This Row],[ARS]]/Julio[[#This Row],[COTIZACION]])</f>
        <v/>
      </c>
      <c r="H83" s="10"/>
    </row>
    <row r="84" spans="2:8" ht="15.5" x14ac:dyDescent="0.35">
      <c r="B84" s="9"/>
      <c r="C84" s="9"/>
      <c r="D84" s="1"/>
      <c r="E84" s="9"/>
      <c r="F84" s="10"/>
      <c r="G84" s="10" t="str">
        <f>IF(Julio[[#This Row],[COTIZACION]]="", "", Julio[[#This Row],[ARS]]/Julio[[#This Row],[COTIZACION]])</f>
        <v/>
      </c>
      <c r="H84" s="10"/>
    </row>
    <row r="85" spans="2:8" ht="15.5" x14ac:dyDescent="0.35">
      <c r="B85" s="9"/>
      <c r="C85" s="9"/>
      <c r="D85" s="1"/>
      <c r="E85" s="9"/>
      <c r="F85" s="10"/>
      <c r="G85" s="10" t="str">
        <f>IF(Julio[[#This Row],[COTIZACION]]="", "", Julio[[#This Row],[ARS]]/Julio[[#This Row],[COTIZACION]])</f>
        <v/>
      </c>
      <c r="H85" s="10"/>
    </row>
    <row r="86" spans="2:8" ht="15.5" x14ac:dyDescent="0.35">
      <c r="B86" s="9"/>
      <c r="C86" s="9"/>
      <c r="D86" s="1"/>
      <c r="E86" s="9"/>
      <c r="F86" s="10"/>
      <c r="G86" s="10" t="str">
        <f>IF(Julio[[#This Row],[COTIZACION]]="", "", Julio[[#This Row],[ARS]]/Julio[[#This Row],[COTIZACION]])</f>
        <v/>
      </c>
      <c r="H86" s="10"/>
    </row>
    <row r="87" spans="2:8" ht="15.5" x14ac:dyDescent="0.35">
      <c r="B87" s="9"/>
      <c r="C87" s="9"/>
      <c r="D87" s="1"/>
      <c r="E87" s="9"/>
      <c r="F87" s="10"/>
      <c r="G87" s="10" t="str">
        <f>IF(Julio[[#This Row],[COTIZACION]]="", "", Julio[[#This Row],[ARS]]/Julio[[#This Row],[COTIZACION]])</f>
        <v/>
      </c>
      <c r="H87" s="10"/>
    </row>
    <row r="88" spans="2:8" ht="15.5" x14ac:dyDescent="0.35">
      <c r="B88" s="9"/>
      <c r="C88" s="9"/>
      <c r="D88" s="1"/>
      <c r="E88" s="9"/>
      <c r="F88" s="10"/>
      <c r="G88" s="10" t="str">
        <f>IF(Julio[[#This Row],[COTIZACION]]="", "", Julio[[#This Row],[ARS]]/Julio[[#This Row],[COTIZACION]])</f>
        <v/>
      </c>
      <c r="H88" s="10"/>
    </row>
    <row r="89" spans="2:8" ht="15.5" x14ac:dyDescent="0.35">
      <c r="B89" s="9"/>
      <c r="C89" s="9"/>
      <c r="D89" s="1"/>
      <c r="E89" s="9"/>
      <c r="F89" s="10"/>
      <c r="G89" s="10" t="str">
        <f>IF(Julio[[#This Row],[COTIZACION]]="", "", Julio[[#This Row],[ARS]]/Julio[[#This Row],[COTIZACION]])</f>
        <v/>
      </c>
      <c r="H89" s="10"/>
    </row>
    <row r="90" spans="2:8" ht="15.5" x14ac:dyDescent="0.35">
      <c r="B90" s="9"/>
      <c r="C90" s="9"/>
      <c r="D90" s="1"/>
      <c r="E90" s="9"/>
      <c r="F90" s="10"/>
      <c r="G90" s="10" t="str">
        <f>IF(Julio[[#This Row],[COTIZACION]]="", "", Julio[[#This Row],[ARS]]/Julio[[#This Row],[COTIZACION]])</f>
        <v/>
      </c>
      <c r="H90" s="10"/>
    </row>
    <row r="91" spans="2:8" ht="15.5" x14ac:dyDescent="0.35">
      <c r="B91" s="9"/>
      <c r="C91" s="9"/>
      <c r="D91" s="1"/>
      <c r="E91" s="9"/>
      <c r="F91" s="10"/>
      <c r="G91" s="10" t="str">
        <f>IF(Julio[[#This Row],[COTIZACION]]="", "", Julio[[#This Row],[ARS]]/Julio[[#This Row],[COTIZACION]])</f>
        <v/>
      </c>
      <c r="H91" s="10"/>
    </row>
    <row r="92" spans="2:8" ht="15.5" x14ac:dyDescent="0.35">
      <c r="B92" s="9"/>
      <c r="C92" s="9"/>
      <c r="D92" s="1"/>
      <c r="E92" s="9"/>
      <c r="F92" s="10"/>
      <c r="G92" s="10" t="str">
        <f>IF(Julio[[#This Row],[COTIZACION]]="", "", Julio[[#This Row],[ARS]]/Julio[[#This Row],[COTIZACION]])</f>
        <v/>
      </c>
      <c r="H92" s="10"/>
    </row>
    <row r="93" spans="2:8" ht="15.5" x14ac:dyDescent="0.35">
      <c r="B93" s="9"/>
      <c r="C93" s="9"/>
      <c r="D93" s="1"/>
      <c r="E93" s="9"/>
      <c r="F93" s="10"/>
      <c r="G93" s="10" t="str">
        <f>IF(Julio[[#This Row],[COTIZACION]]="", "", Julio[[#This Row],[ARS]]/Julio[[#This Row],[COTIZACION]])</f>
        <v/>
      </c>
      <c r="H93" s="10"/>
    </row>
    <row r="94" spans="2:8" ht="15.5" x14ac:dyDescent="0.35">
      <c r="B94" s="9"/>
      <c r="C94" s="9"/>
      <c r="D94" s="1"/>
      <c r="E94" s="9"/>
      <c r="F94" s="10"/>
      <c r="G94" s="10" t="str">
        <f>IF(Julio[[#This Row],[COTIZACION]]="", "", Julio[[#This Row],[ARS]]/Julio[[#This Row],[COTIZACION]])</f>
        <v/>
      </c>
      <c r="H94" s="10"/>
    </row>
    <row r="95" spans="2:8" ht="15.5" x14ac:dyDescent="0.35">
      <c r="B95" s="35"/>
      <c r="C95" s="35"/>
      <c r="D95" s="36"/>
      <c r="E95" s="35"/>
      <c r="F95" s="37"/>
      <c r="G95" s="37" t="str">
        <f>IF(Julio[[#This Row],[COTIZACION]]="", "", Julio[[#This Row],[ARS]]/Julio[[#This Row],[COTIZACION]])</f>
        <v/>
      </c>
      <c r="H95" s="37"/>
    </row>
  </sheetData>
  <mergeCells count="1">
    <mergeCell ref="F1:H1"/>
  </mergeCells>
  <phoneticPr fontId="3" type="noConversion"/>
  <dataValidations count="2">
    <dataValidation type="list" allowBlank="1" showInputMessage="1" showErrorMessage="1" sqref="B41:B95 B6:B39" xr:uid="{00000000-0002-0000-0A00-000000000000}">
      <formula1>Categorías</formula1>
    </dataValidation>
    <dataValidation type="list" allowBlank="1" showInputMessage="1" showErrorMessage="1" sqref="C41:C95 C6:C39" xr:uid="{00000000-0002-0000-0A00-000001000000}">
      <formula1>INDIRECT($B6)</formula1>
    </dataValidation>
  </dataValidations>
  <pageMargins left="0.7" right="0.7" top="0.75" bottom="0.75" header="0.3" footer="0.3"/>
  <pageSetup paperSize="9" orientation="portrait" r:id="rId1"/>
  <ignoredErrors>
    <ignoredError sqref="H3:H4" unlockedFormula="1"/>
  </ignoredErrors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L95"/>
  <sheetViews>
    <sheetView showGridLines="0" topLeftCell="C1" zoomScale="112" zoomScaleNormal="112" workbookViewId="0">
      <pane ySplit="5" topLeftCell="A6" activePane="bottomLeft" state="frozen"/>
      <selection pane="bottomLeft" activeCell="D18" sqref="D18"/>
    </sheetView>
  </sheetViews>
  <sheetFormatPr defaultColWidth="9.08984375" defaultRowHeight="14.5" x14ac:dyDescent="0.35"/>
  <cols>
    <col min="1" max="1" width="5.54296875" customWidth="1"/>
    <col min="2" max="2" width="23.08984375" customWidth="1"/>
    <col min="3" max="3" width="26.54296875" customWidth="1"/>
    <col min="4" max="4" width="12.6328125" style="2" customWidth="1"/>
    <col min="5" max="5" width="37" customWidth="1"/>
    <col min="6" max="8" width="17.36328125" style="3" customWidth="1"/>
    <col min="9" max="10" width="9.08984375" customWidth="1"/>
    <col min="11" max="11" width="9.08984375" style="2" customWidth="1"/>
    <col min="12" max="12" width="16.54296875" bestFit="1" customWidth="1"/>
    <col min="13" max="13" width="11.90625" bestFit="1" customWidth="1"/>
    <col min="14" max="14" width="15.54296875" bestFit="1" customWidth="1"/>
  </cols>
  <sheetData>
    <row r="1" spans="2:12" s="4" customFormat="1" ht="18.5" x14ac:dyDescent="0.45">
      <c r="B1" s="25" t="s">
        <v>34</v>
      </c>
      <c r="C1" s="25"/>
      <c r="D1" s="25"/>
      <c r="E1" s="25"/>
      <c r="F1" s="137" t="s">
        <v>23</v>
      </c>
      <c r="G1" s="137"/>
      <c r="H1" s="137"/>
      <c r="K1" s="5"/>
    </row>
    <row r="2" spans="2:12" s="6" customFormat="1" ht="15" customHeight="1" x14ac:dyDescent="0.35">
      <c r="B2" s="2"/>
      <c r="D2" s="8"/>
      <c r="E2" s="27" t="s">
        <v>59</v>
      </c>
      <c r="F2" s="28">
        <f>SUM(Agosto[ARS])</f>
        <v>3022585</v>
      </c>
      <c r="G2" s="28">
        <f>SUM(Agosto[USD])</f>
        <v>2323.9795215465638</v>
      </c>
      <c r="H2" s="28"/>
      <c r="K2" s="8"/>
    </row>
    <row r="3" spans="2:12" s="6" customFormat="1" ht="15" customHeight="1" x14ac:dyDescent="0.35">
      <c r="B3" s="2"/>
      <c r="D3" s="8"/>
      <c r="E3" s="27" t="s">
        <v>65</v>
      </c>
      <c r="F3" s="29">
        <f>MAX(Agosto[ARS])</f>
        <v>1300000</v>
      </c>
      <c r="G3" s="29">
        <f>MAX(Agosto[USD])</f>
        <v>1000</v>
      </c>
      <c r="H3" s="29">
        <f>MAX(Agosto[COTIZACION])</f>
        <v>1310</v>
      </c>
      <c r="K3" s="8"/>
    </row>
    <row r="4" spans="2:12" s="6" customFormat="1" ht="15" customHeight="1" x14ac:dyDescent="0.35">
      <c r="B4" s="2"/>
      <c r="D4" s="8"/>
      <c r="E4" s="27" t="s">
        <v>66</v>
      </c>
      <c r="F4" s="29">
        <f>MIN(Agosto[ARS])</f>
        <v>5000</v>
      </c>
      <c r="G4" s="29">
        <f>MIN(Agosto[USD])</f>
        <v>3.8759689922480618</v>
      </c>
      <c r="H4" s="29">
        <f>MIN(Agosto[COTIZACION])</f>
        <v>1290</v>
      </c>
      <c r="K4" s="8"/>
    </row>
    <row r="5" spans="2:12" s="33" customFormat="1" ht="15.5" x14ac:dyDescent="0.35">
      <c r="B5" s="30" t="s">
        <v>35</v>
      </c>
      <c r="C5" s="30" t="s">
        <v>36</v>
      </c>
      <c r="D5" s="30" t="s">
        <v>37</v>
      </c>
      <c r="E5" s="30" t="s">
        <v>13</v>
      </c>
      <c r="F5" s="30" t="s">
        <v>64</v>
      </c>
      <c r="G5" s="30" t="s">
        <v>63</v>
      </c>
      <c r="H5" s="30" t="s">
        <v>62</v>
      </c>
      <c r="I5" s="32"/>
      <c r="K5" s="34"/>
      <c r="L5" s="11"/>
    </row>
    <row r="6" spans="2:12" ht="15.75" customHeight="1" x14ac:dyDescent="0.35">
      <c r="B6" s="9" t="s">
        <v>14</v>
      </c>
      <c r="C6" s="9" t="s">
        <v>72</v>
      </c>
      <c r="D6" s="1">
        <v>45785</v>
      </c>
      <c r="E6" s="9" t="s">
        <v>72</v>
      </c>
      <c r="F6" s="10">
        <v>878000</v>
      </c>
      <c r="G6" s="10">
        <f>IF(Agosto[[#This Row],[COTIZACION]]="", "", Agosto[[#This Row],[ARS]]/Agosto[[#This Row],[COTIZACION]])</f>
        <v>675.38461538461536</v>
      </c>
      <c r="H6" s="98">
        <v>1300</v>
      </c>
    </row>
    <row r="7" spans="2:12" ht="15.75" customHeight="1" x14ac:dyDescent="0.35">
      <c r="B7" s="9" t="s">
        <v>85</v>
      </c>
      <c r="C7" s="9" t="s">
        <v>162</v>
      </c>
      <c r="D7" s="1">
        <v>45938</v>
      </c>
      <c r="E7" s="9" t="s">
        <v>181</v>
      </c>
      <c r="F7" s="10">
        <v>1300000</v>
      </c>
      <c r="G7" s="10">
        <v>1000</v>
      </c>
      <c r="H7" s="10">
        <v>1300</v>
      </c>
    </row>
    <row r="8" spans="2:12" ht="15.75" customHeight="1" x14ac:dyDescent="0.35">
      <c r="B8" s="96" t="s">
        <v>0</v>
      </c>
      <c r="C8" s="96"/>
      <c r="D8" s="97"/>
      <c r="E8" s="9"/>
      <c r="F8" s="10"/>
      <c r="G8" s="10" t="str">
        <f>IF(Agosto[[#This Row],[COTIZACION]]="", "", Agosto[[#This Row],[ARS]]/Agosto[[#This Row],[COTIZACION]])</f>
        <v/>
      </c>
      <c r="H8" s="98"/>
    </row>
    <row r="9" spans="2:12" ht="15.75" customHeight="1" x14ac:dyDescent="0.35">
      <c r="B9" s="9"/>
      <c r="C9" s="9"/>
      <c r="D9" s="108"/>
      <c r="E9" s="9"/>
      <c r="F9" s="10"/>
      <c r="G9" s="10" t="str">
        <f>IF(Agosto[[#This Row],[COTIZACION]]="", "", Agosto[[#This Row],[ARS]]/Agosto[[#This Row],[COTIZACION]])</f>
        <v/>
      </c>
      <c r="H9" s="10"/>
    </row>
    <row r="10" spans="2:12" ht="15.75" customHeight="1" x14ac:dyDescent="0.35">
      <c r="B10" s="9" t="s">
        <v>1</v>
      </c>
      <c r="C10" s="9" t="s">
        <v>71</v>
      </c>
      <c r="D10" s="108">
        <v>45665</v>
      </c>
      <c r="E10" s="9" t="s">
        <v>221</v>
      </c>
      <c r="F10" s="10">
        <v>5000</v>
      </c>
      <c r="G10" s="10">
        <f>IF(Agosto[[#This Row],[COTIZACION]]="", "", Agosto[[#This Row],[ARS]]/Agosto[[#This Row],[COTIZACION]])</f>
        <v>3.8759689922480618</v>
      </c>
      <c r="H10" s="10">
        <v>1290</v>
      </c>
    </row>
    <row r="11" spans="2:12" ht="15.5" x14ac:dyDescent="0.35">
      <c r="B11" s="9" t="s">
        <v>85</v>
      </c>
      <c r="C11" s="9" t="s">
        <v>97</v>
      </c>
      <c r="D11" s="1">
        <v>45785</v>
      </c>
      <c r="E11" s="9" t="s">
        <v>222</v>
      </c>
      <c r="F11" s="10">
        <v>123585</v>
      </c>
      <c r="G11" s="10">
        <f>IF(Agosto[[#This Row],[COTIZACION]]="", "", Agosto[[#This Row],[ARS]]/Agosto[[#This Row],[COTIZACION]])</f>
        <v>95.065384615384616</v>
      </c>
      <c r="H11" s="10">
        <v>1300</v>
      </c>
    </row>
    <row r="12" spans="2:12" ht="15.5" x14ac:dyDescent="0.35">
      <c r="B12" s="9" t="s">
        <v>14</v>
      </c>
      <c r="C12" s="9" t="s">
        <v>78</v>
      </c>
      <c r="D12" s="1">
        <v>45785</v>
      </c>
      <c r="E12" s="9" t="s">
        <v>223</v>
      </c>
      <c r="F12" s="10">
        <v>100000</v>
      </c>
      <c r="G12" s="10">
        <f>IF(Agosto[[#This Row],[COTIZACION]]="", "", Agosto[[#This Row],[ARS]]/Agosto[[#This Row],[COTIZACION]])</f>
        <v>76.92307692307692</v>
      </c>
      <c r="H12" s="10">
        <v>1300</v>
      </c>
    </row>
    <row r="13" spans="2:12" ht="15.5" x14ac:dyDescent="0.35">
      <c r="B13" s="9" t="s">
        <v>14</v>
      </c>
      <c r="C13" s="9" t="s">
        <v>33</v>
      </c>
      <c r="D13" s="1">
        <v>45877</v>
      </c>
      <c r="E13" s="9" t="s">
        <v>79</v>
      </c>
      <c r="F13" s="10">
        <v>40000</v>
      </c>
      <c r="G13" s="10">
        <f>IF(Agosto[[#This Row],[COTIZACION]]="", "", Agosto[[#This Row],[ARS]]/Agosto[[#This Row],[COTIZACION]])</f>
        <v>30.76923076923077</v>
      </c>
      <c r="H13" s="98">
        <v>1300</v>
      </c>
    </row>
    <row r="14" spans="2:12" ht="15.5" x14ac:dyDescent="0.35">
      <c r="B14" s="9" t="s">
        <v>14</v>
      </c>
      <c r="C14" s="9" t="s">
        <v>76</v>
      </c>
      <c r="D14" s="1">
        <v>45877</v>
      </c>
      <c r="E14" s="9"/>
      <c r="F14" s="10">
        <v>63000</v>
      </c>
      <c r="G14" s="10">
        <f>IF(Agosto[[#This Row],[COTIZACION]]="", "", Agosto[[#This Row],[ARS]]/Agosto[[#This Row],[COTIZACION]])</f>
        <v>48.46153846153846</v>
      </c>
      <c r="H14" s="10">
        <v>1300</v>
      </c>
    </row>
    <row r="15" spans="2:12" ht="15.5" x14ac:dyDescent="0.35">
      <c r="B15" s="96" t="s">
        <v>14</v>
      </c>
      <c r="C15" s="96" t="s">
        <v>75</v>
      </c>
      <c r="D15" s="97">
        <v>45785</v>
      </c>
      <c r="E15" s="9" t="s">
        <v>224</v>
      </c>
      <c r="F15" s="10">
        <v>323000</v>
      </c>
      <c r="G15" s="10">
        <f>IF(Agosto[[#This Row],[COTIZACION]]="", "", Agosto[[#This Row],[ARS]]/Agosto[[#This Row],[COTIZACION]])</f>
        <v>248.46153846153845</v>
      </c>
      <c r="H15" s="10">
        <v>1300</v>
      </c>
    </row>
    <row r="16" spans="2:12" ht="15.5" x14ac:dyDescent="0.35">
      <c r="B16" s="9" t="s">
        <v>14</v>
      </c>
      <c r="C16" s="9" t="s">
        <v>33</v>
      </c>
      <c r="D16" s="1" t="s">
        <v>225</v>
      </c>
      <c r="E16" s="9" t="s">
        <v>226</v>
      </c>
      <c r="F16" s="10">
        <v>60000</v>
      </c>
      <c r="G16" s="10">
        <f>IF(Agosto[[#This Row],[COTIZACION]]="", "", Agosto[[#This Row],[ARS]]/Agosto[[#This Row],[COTIZACION]])</f>
        <v>45.801526717557252</v>
      </c>
      <c r="H16" s="10">
        <v>1310</v>
      </c>
    </row>
    <row r="17" spans="2:8" ht="15.5" x14ac:dyDescent="0.35">
      <c r="B17" s="9" t="s">
        <v>14</v>
      </c>
      <c r="C17" s="9" t="s">
        <v>4</v>
      </c>
      <c r="D17" s="1" t="s">
        <v>225</v>
      </c>
      <c r="E17" s="9" t="s">
        <v>4</v>
      </c>
      <c r="F17" s="10">
        <v>30000</v>
      </c>
      <c r="G17" s="10">
        <f>IF(Agosto[[#This Row],[COTIZACION]]="", "", Agosto[[#This Row],[ARS]]/Agosto[[#This Row],[COTIZACION]])</f>
        <v>22.900763358778626</v>
      </c>
      <c r="H17" s="10">
        <v>1310</v>
      </c>
    </row>
    <row r="18" spans="2:8" ht="15.5" x14ac:dyDescent="0.35">
      <c r="B18" s="9" t="s">
        <v>14</v>
      </c>
      <c r="C18" s="9" t="s">
        <v>33</v>
      </c>
      <c r="D18" s="1"/>
      <c r="E18" s="9" t="s">
        <v>228</v>
      </c>
      <c r="F18" s="10">
        <v>100000</v>
      </c>
      <c r="G18" s="10">
        <f>IF(Agosto[[#This Row],[COTIZACION]]="", "", Agosto[[#This Row],[ARS]]/Agosto[[#This Row],[COTIZACION]])</f>
        <v>76.335877862595424</v>
      </c>
      <c r="H18" s="10">
        <v>1310</v>
      </c>
    </row>
    <row r="19" spans="2:8" ht="15.5" x14ac:dyDescent="0.35">
      <c r="B19" s="9"/>
      <c r="C19" s="9"/>
      <c r="D19" s="1"/>
      <c r="E19" s="9"/>
      <c r="F19" s="10"/>
      <c r="G19" s="10" t="str">
        <f>IF(Agosto[[#This Row],[COTIZACION]]="", "", Agosto[[#This Row],[ARS]]/Agosto[[#This Row],[COTIZACION]])</f>
        <v/>
      </c>
      <c r="H19" s="10"/>
    </row>
    <row r="20" spans="2:8" ht="15.5" x14ac:dyDescent="0.35">
      <c r="B20" s="9"/>
      <c r="C20" s="9"/>
      <c r="D20" s="97"/>
      <c r="E20" s="9"/>
      <c r="F20" s="10"/>
      <c r="G20" s="10" t="str">
        <f>IF(Agosto[[#This Row],[COTIZACION]]="", "", Agosto[[#This Row],[ARS]]/Agosto[[#This Row],[COTIZACION]])</f>
        <v/>
      </c>
      <c r="H20" s="10"/>
    </row>
    <row r="21" spans="2:8" ht="15.5" x14ac:dyDescent="0.35">
      <c r="B21" s="9"/>
      <c r="C21" s="9"/>
      <c r="D21" s="97"/>
      <c r="E21" s="9"/>
      <c r="F21" s="10"/>
      <c r="G21" s="10" t="str">
        <f>IF(Agosto[[#This Row],[COTIZACION]]="", "", Agosto[[#This Row],[ARS]]/Agosto[[#This Row],[COTIZACION]])</f>
        <v/>
      </c>
      <c r="H21" s="10"/>
    </row>
    <row r="22" spans="2:8" ht="15.5" x14ac:dyDescent="0.35">
      <c r="B22" s="9"/>
      <c r="C22" s="9"/>
      <c r="D22" s="1"/>
      <c r="E22" s="9"/>
      <c r="F22" s="10"/>
      <c r="G22" s="10" t="str">
        <f>IF(Agosto[[#This Row],[COTIZACION]]="", "", Agosto[[#This Row],[ARS]]/Agosto[[#This Row],[COTIZACION]])</f>
        <v/>
      </c>
      <c r="H22" s="10"/>
    </row>
    <row r="23" spans="2:8" ht="15.5" x14ac:dyDescent="0.35">
      <c r="B23" s="9"/>
      <c r="C23" s="9"/>
      <c r="D23" s="1"/>
      <c r="E23" s="9"/>
      <c r="F23" s="10"/>
      <c r="G23" s="10" t="str">
        <f>IF(Agosto[[#This Row],[COTIZACION]]="", "", Agosto[[#This Row],[ARS]]/Agosto[[#This Row],[COTIZACION]])</f>
        <v/>
      </c>
      <c r="H23" s="10"/>
    </row>
    <row r="24" spans="2:8" ht="15.5" x14ac:dyDescent="0.35">
      <c r="B24" s="9"/>
      <c r="C24" s="9"/>
      <c r="D24" s="1"/>
      <c r="E24" s="9"/>
      <c r="F24" s="10"/>
      <c r="G24" s="10" t="str">
        <f>IF(Agosto[[#This Row],[COTIZACION]]="", "", Agosto[[#This Row],[ARS]]/Agosto[[#This Row],[COTIZACION]])</f>
        <v/>
      </c>
      <c r="H24" s="10"/>
    </row>
    <row r="25" spans="2:8" ht="15.5" x14ac:dyDescent="0.35">
      <c r="B25" s="9"/>
      <c r="C25" s="9"/>
      <c r="D25" s="97"/>
      <c r="E25" s="9"/>
      <c r="F25" s="10"/>
      <c r="G25" s="10" t="str">
        <f>IF(Agosto[[#This Row],[COTIZACION]]="", "", Agosto[[#This Row],[ARS]]/Agosto[[#This Row],[COTIZACION]])</f>
        <v/>
      </c>
      <c r="H25" s="10"/>
    </row>
    <row r="26" spans="2:8" ht="15.5" x14ac:dyDescent="0.35">
      <c r="B26" s="9"/>
      <c r="C26" s="9"/>
      <c r="D26" s="97"/>
      <c r="E26" s="9"/>
      <c r="F26" s="10"/>
      <c r="G26" s="10" t="str">
        <f>IF(Agosto[[#This Row],[COTIZACION]]="", "", Agosto[[#This Row],[ARS]]/Agosto[[#This Row],[COTIZACION]])</f>
        <v/>
      </c>
      <c r="H26" s="10"/>
    </row>
    <row r="27" spans="2:8" ht="15.5" x14ac:dyDescent="0.35">
      <c r="B27" s="9"/>
      <c r="C27" s="9"/>
      <c r="D27" s="1"/>
      <c r="E27" s="9"/>
      <c r="F27" s="10"/>
      <c r="G27" s="10" t="str">
        <f>IF(Agosto[[#This Row],[COTIZACION]]="", "", Agosto[[#This Row],[ARS]]/Agosto[[#This Row],[COTIZACION]])</f>
        <v/>
      </c>
      <c r="H27" s="10"/>
    </row>
    <row r="28" spans="2:8" ht="15.5" x14ac:dyDescent="0.35">
      <c r="B28" s="9"/>
      <c r="C28" s="9"/>
      <c r="D28" s="1"/>
      <c r="E28" s="9"/>
      <c r="F28" s="10"/>
      <c r="G28" s="10" t="str">
        <f>IF(Agosto[[#This Row],[COTIZACION]]="", "", Agosto[[#This Row],[ARS]]/Agosto[[#This Row],[COTIZACION]])</f>
        <v/>
      </c>
      <c r="H28" s="10"/>
    </row>
    <row r="29" spans="2:8" ht="15.5" x14ac:dyDescent="0.35">
      <c r="B29" s="9"/>
      <c r="C29" s="9"/>
      <c r="D29" s="1"/>
      <c r="E29" s="9"/>
      <c r="F29" s="10"/>
      <c r="G29" s="10" t="str">
        <f>IF(Agosto[[#This Row],[COTIZACION]]="", "", Agosto[[#This Row],[ARS]]/Agosto[[#This Row],[COTIZACION]])</f>
        <v/>
      </c>
      <c r="H29" s="10"/>
    </row>
    <row r="30" spans="2:8" ht="15.5" x14ac:dyDescent="0.35">
      <c r="B30" s="9"/>
      <c r="C30" s="9"/>
      <c r="D30" s="1"/>
      <c r="E30" s="9"/>
      <c r="F30" s="10"/>
      <c r="G30" s="10" t="str">
        <f>IF(Agosto[[#This Row],[COTIZACION]]="", "", Agosto[[#This Row],[ARS]]/Agosto[[#This Row],[COTIZACION]])</f>
        <v/>
      </c>
      <c r="H30" s="10"/>
    </row>
    <row r="31" spans="2:8" ht="15.5" x14ac:dyDescent="0.35">
      <c r="B31" s="9"/>
      <c r="C31" s="9"/>
      <c r="D31" s="1"/>
      <c r="E31" s="96"/>
      <c r="F31" s="10"/>
      <c r="G31" s="10" t="str">
        <f>IF(Agosto[[#This Row],[COTIZACION]]="", "", Agosto[[#This Row],[ARS]]/Agosto[[#This Row],[COTIZACION]])</f>
        <v/>
      </c>
      <c r="H31" s="10"/>
    </row>
    <row r="32" spans="2:8" ht="15.5" x14ac:dyDescent="0.35">
      <c r="B32" s="9"/>
      <c r="C32" s="9"/>
      <c r="D32" s="1"/>
      <c r="E32" s="9"/>
      <c r="F32" s="10"/>
      <c r="G32" s="10" t="str">
        <f>IF(Agosto[[#This Row],[COTIZACION]]="", "", Agosto[[#This Row],[ARS]]/Agosto[[#This Row],[COTIZACION]])</f>
        <v/>
      </c>
      <c r="H32" s="10"/>
    </row>
    <row r="33" spans="2:8" ht="15.5" x14ac:dyDescent="0.35">
      <c r="B33" s="9"/>
      <c r="C33" s="9"/>
      <c r="D33" s="1"/>
      <c r="E33" s="9"/>
      <c r="F33" s="10"/>
      <c r="G33" s="10" t="str">
        <f>IF(Agosto[[#This Row],[COTIZACION]]="", "", Agosto[[#This Row],[ARS]]/Agosto[[#This Row],[COTIZACION]])</f>
        <v/>
      </c>
      <c r="H33" s="10"/>
    </row>
    <row r="34" spans="2:8" ht="15.5" x14ac:dyDescent="0.35">
      <c r="B34" s="9"/>
      <c r="C34" s="9"/>
      <c r="D34" s="1"/>
      <c r="E34" s="9"/>
      <c r="F34" s="10"/>
      <c r="G34" s="10" t="str">
        <f>IF(Agosto[[#This Row],[COTIZACION]]="", "", Agosto[[#This Row],[ARS]]/Agosto[[#This Row],[COTIZACION]])</f>
        <v/>
      </c>
      <c r="H34" s="10"/>
    </row>
    <row r="35" spans="2:8" ht="15.5" x14ac:dyDescent="0.35">
      <c r="B35" s="9"/>
      <c r="C35" s="9"/>
      <c r="D35" s="1"/>
      <c r="E35" s="9"/>
      <c r="F35" s="10"/>
      <c r="G35" s="10" t="str">
        <f>IF(Agosto[[#This Row],[COTIZACION]]="", "", Agosto[[#This Row],[ARS]]/Agosto[[#This Row],[COTIZACION]])</f>
        <v/>
      </c>
      <c r="H35" s="10"/>
    </row>
    <row r="36" spans="2:8" ht="15.5" x14ac:dyDescent="0.35">
      <c r="B36" s="9"/>
      <c r="C36" s="9"/>
      <c r="D36" s="1"/>
      <c r="E36" s="9"/>
      <c r="F36" s="10"/>
      <c r="G36" s="10" t="str">
        <f>IF(Agosto[[#This Row],[COTIZACION]]="", "", Agosto[[#This Row],[ARS]]/Agosto[[#This Row],[COTIZACION]])</f>
        <v/>
      </c>
      <c r="H36" s="10"/>
    </row>
    <row r="37" spans="2:8" ht="15.5" x14ac:dyDescent="0.35">
      <c r="B37" s="9"/>
      <c r="C37" s="9"/>
      <c r="D37" s="1"/>
      <c r="E37" s="9"/>
      <c r="F37" s="10"/>
      <c r="G37" s="10" t="str">
        <f>IF(Agosto[[#This Row],[COTIZACION]]="", "", Agosto[[#This Row],[ARS]]/Agosto[[#This Row],[COTIZACION]])</f>
        <v/>
      </c>
      <c r="H37" s="10"/>
    </row>
    <row r="38" spans="2:8" ht="15.5" x14ac:dyDescent="0.35">
      <c r="B38" s="96"/>
      <c r="C38" s="96"/>
      <c r="D38" s="97"/>
      <c r="E38" s="96"/>
      <c r="F38" s="10"/>
      <c r="G38" s="10" t="str">
        <f>IF(Agosto[[#This Row],[COTIZACION]]="", "", Agosto[[#This Row],[ARS]]/Agosto[[#This Row],[COTIZACION]])</f>
        <v/>
      </c>
      <c r="H38" s="98"/>
    </row>
    <row r="39" spans="2:8" ht="15.5" x14ac:dyDescent="0.35">
      <c r="B39" s="9"/>
      <c r="C39" s="9"/>
      <c r="D39" s="1"/>
      <c r="E39" s="9"/>
      <c r="F39" s="10"/>
      <c r="G39" s="10" t="str">
        <f>IF(Agosto[[#This Row],[COTIZACION]]="", "", Agosto[[#This Row],[ARS]]/Agosto[[#This Row],[COTIZACION]])</f>
        <v/>
      </c>
      <c r="H39" s="10"/>
    </row>
    <row r="40" spans="2:8" ht="15.5" x14ac:dyDescent="0.35">
      <c r="B40" s="96"/>
      <c r="C40" s="96"/>
      <c r="D40" s="97"/>
      <c r="E40" s="9"/>
      <c r="F40" s="10"/>
      <c r="G40" s="10" t="str">
        <f>IF(Agosto[[#This Row],[COTIZACION]]="", "", Agosto[[#This Row],[ARS]]/Agosto[[#This Row],[COTIZACION]])</f>
        <v/>
      </c>
      <c r="H40" s="10"/>
    </row>
    <row r="41" spans="2:8" ht="15.5" x14ac:dyDescent="0.35">
      <c r="B41" s="9"/>
      <c r="C41" s="9"/>
      <c r="D41" s="1"/>
      <c r="E41" s="9"/>
      <c r="F41" s="10"/>
      <c r="G41" s="10" t="str">
        <f>IF(Agosto[[#This Row],[COTIZACION]]="", "", Agosto[[#This Row],[ARS]]/Agosto[[#This Row],[COTIZACION]])</f>
        <v/>
      </c>
      <c r="H41" s="10"/>
    </row>
    <row r="42" spans="2:8" ht="15.5" x14ac:dyDescent="0.35">
      <c r="B42" s="9"/>
      <c r="C42" s="9"/>
      <c r="D42" s="1"/>
      <c r="E42" s="9"/>
      <c r="F42" s="10"/>
      <c r="G42" s="10" t="str">
        <f>IF(Agosto[[#This Row],[COTIZACION]]="", "", Agosto[[#This Row],[ARS]]/Agosto[[#This Row],[COTIZACION]])</f>
        <v/>
      </c>
      <c r="H42" s="10"/>
    </row>
    <row r="43" spans="2:8" ht="15.5" x14ac:dyDescent="0.35">
      <c r="B43" s="9"/>
      <c r="C43" s="9"/>
      <c r="D43" s="1"/>
      <c r="E43" s="9"/>
      <c r="F43" s="10"/>
      <c r="G43" s="10" t="str">
        <f>IF(Agosto[[#This Row],[COTIZACION]]="", "", Agosto[[#This Row],[ARS]]/Agosto[[#This Row],[COTIZACION]])</f>
        <v/>
      </c>
      <c r="H43" s="10"/>
    </row>
    <row r="44" spans="2:8" ht="15.5" x14ac:dyDescent="0.35">
      <c r="B44" s="9"/>
      <c r="C44" s="9"/>
      <c r="D44" s="1"/>
      <c r="E44" s="9"/>
      <c r="F44" s="10"/>
      <c r="G44" s="10" t="str">
        <f>IF(Agosto[[#This Row],[COTIZACION]]="", "", Agosto[[#This Row],[ARS]]/Agosto[[#This Row],[COTIZACION]])</f>
        <v/>
      </c>
      <c r="H44" s="10"/>
    </row>
    <row r="45" spans="2:8" ht="15.5" x14ac:dyDescent="0.35">
      <c r="B45" s="9"/>
      <c r="C45" s="9"/>
      <c r="D45" s="1"/>
      <c r="E45" s="9"/>
      <c r="F45" s="10"/>
      <c r="G45" s="10" t="str">
        <f>IF(Agosto[[#This Row],[COTIZACION]]="", "", Agosto[[#This Row],[ARS]]/Agosto[[#This Row],[COTIZACION]])</f>
        <v/>
      </c>
      <c r="H45" s="10"/>
    </row>
    <row r="46" spans="2:8" ht="15.5" x14ac:dyDescent="0.35">
      <c r="B46" s="9"/>
      <c r="C46" s="9"/>
      <c r="D46" s="1"/>
      <c r="E46" s="9"/>
      <c r="F46" s="10"/>
      <c r="G46" s="10" t="str">
        <f>IF(Agosto[[#This Row],[COTIZACION]]="", "", Agosto[[#This Row],[ARS]]/Agosto[[#This Row],[COTIZACION]])</f>
        <v/>
      </c>
      <c r="H46" s="10"/>
    </row>
    <row r="47" spans="2:8" ht="15.5" x14ac:dyDescent="0.35">
      <c r="B47" s="9"/>
      <c r="C47" s="9"/>
      <c r="D47" s="1"/>
      <c r="E47" s="9"/>
      <c r="F47" s="10"/>
      <c r="G47" s="10" t="str">
        <f>IF(Agosto[[#This Row],[COTIZACION]]="", "", Agosto[[#This Row],[ARS]]/Agosto[[#This Row],[COTIZACION]])</f>
        <v/>
      </c>
      <c r="H47" s="10"/>
    </row>
    <row r="48" spans="2:8" ht="15.5" x14ac:dyDescent="0.35">
      <c r="B48" s="9"/>
      <c r="C48" s="9"/>
      <c r="D48" s="1"/>
      <c r="E48" s="9"/>
      <c r="F48" s="10"/>
      <c r="G48" s="10" t="str">
        <f>IF(Agosto[[#This Row],[COTIZACION]]="", "", Agosto[[#This Row],[ARS]]/Agosto[[#This Row],[COTIZACION]])</f>
        <v/>
      </c>
      <c r="H48" s="10"/>
    </row>
    <row r="49" spans="2:8" ht="15.5" x14ac:dyDescent="0.35">
      <c r="B49" s="9"/>
      <c r="C49" s="9"/>
      <c r="D49" s="1"/>
      <c r="E49" s="9"/>
      <c r="F49" s="10"/>
      <c r="G49" s="10" t="str">
        <f>IF(Agosto[[#This Row],[COTIZACION]]="", "", Agosto[[#This Row],[ARS]]/Agosto[[#This Row],[COTIZACION]])</f>
        <v/>
      </c>
      <c r="H49" s="10"/>
    </row>
    <row r="50" spans="2:8" ht="15.5" x14ac:dyDescent="0.35">
      <c r="B50" s="9"/>
      <c r="C50" s="9"/>
      <c r="D50" s="1"/>
      <c r="E50" s="9"/>
      <c r="F50" s="10"/>
      <c r="G50" s="10" t="str">
        <f>IF(Agosto[[#This Row],[COTIZACION]]="", "", Agosto[[#This Row],[ARS]]/Agosto[[#This Row],[COTIZACION]])</f>
        <v/>
      </c>
      <c r="H50" s="10"/>
    </row>
    <row r="51" spans="2:8" ht="15.5" x14ac:dyDescent="0.35">
      <c r="B51" s="9"/>
      <c r="C51" s="9"/>
      <c r="D51" s="1"/>
      <c r="E51" s="9"/>
      <c r="F51" s="10"/>
      <c r="G51" s="10" t="str">
        <f>IF(Agosto[[#This Row],[COTIZACION]]="", "", Agosto[[#This Row],[ARS]]/Agosto[[#This Row],[COTIZACION]])</f>
        <v/>
      </c>
      <c r="H51" s="10"/>
    </row>
    <row r="52" spans="2:8" ht="15.5" x14ac:dyDescent="0.35">
      <c r="B52" s="9"/>
      <c r="C52" s="9"/>
      <c r="D52" s="1"/>
      <c r="E52" s="9"/>
      <c r="F52" s="10"/>
      <c r="G52" s="10" t="str">
        <f>IF(Agosto[[#This Row],[COTIZACION]]="", "", Agosto[[#This Row],[ARS]]/Agosto[[#This Row],[COTIZACION]])</f>
        <v/>
      </c>
      <c r="H52" s="10"/>
    </row>
    <row r="53" spans="2:8" ht="15.5" x14ac:dyDescent="0.35">
      <c r="B53" s="9"/>
      <c r="C53" s="9"/>
      <c r="D53" s="1"/>
      <c r="E53" s="9"/>
      <c r="F53" s="10"/>
      <c r="G53" s="10" t="str">
        <f>IF(Agosto[[#This Row],[COTIZACION]]="", "", Agosto[[#This Row],[ARS]]/Agosto[[#This Row],[COTIZACION]])</f>
        <v/>
      </c>
      <c r="H53" s="10"/>
    </row>
    <row r="54" spans="2:8" ht="15.5" x14ac:dyDescent="0.35">
      <c r="B54" s="9"/>
      <c r="C54" s="9"/>
      <c r="D54" s="1"/>
      <c r="E54" s="9"/>
      <c r="F54" s="10"/>
      <c r="G54" s="10" t="str">
        <f>IF(Agosto[[#This Row],[COTIZACION]]="", "", Agosto[[#This Row],[ARS]]/Agosto[[#This Row],[COTIZACION]])</f>
        <v/>
      </c>
      <c r="H54" s="10"/>
    </row>
    <row r="55" spans="2:8" ht="15.5" x14ac:dyDescent="0.35">
      <c r="B55" s="9"/>
      <c r="C55" s="9"/>
      <c r="D55" s="1"/>
      <c r="E55" s="9"/>
      <c r="F55" s="10"/>
      <c r="G55" s="10" t="str">
        <f>IF(Agosto[[#This Row],[COTIZACION]]="", "", Agosto[[#This Row],[ARS]]/Agosto[[#This Row],[COTIZACION]])</f>
        <v/>
      </c>
      <c r="H55" s="10"/>
    </row>
    <row r="56" spans="2:8" ht="15.5" x14ac:dyDescent="0.35">
      <c r="B56" s="9"/>
      <c r="C56" s="9"/>
      <c r="D56" s="1"/>
      <c r="E56" s="9"/>
      <c r="F56" s="10"/>
      <c r="G56" s="10" t="str">
        <f>IF(Agosto[[#This Row],[COTIZACION]]="", "", Agosto[[#This Row],[ARS]]/Agosto[[#This Row],[COTIZACION]])</f>
        <v/>
      </c>
      <c r="H56" s="10"/>
    </row>
    <row r="57" spans="2:8" ht="15.5" x14ac:dyDescent="0.35">
      <c r="B57" s="9"/>
      <c r="C57" s="9"/>
      <c r="D57" s="1"/>
      <c r="E57" s="9"/>
      <c r="F57" s="10"/>
      <c r="G57" s="10" t="str">
        <f>IF(Agosto[[#This Row],[COTIZACION]]="", "", Agosto[[#This Row],[ARS]]/Agosto[[#This Row],[COTIZACION]])</f>
        <v/>
      </c>
      <c r="H57" s="10"/>
    </row>
    <row r="58" spans="2:8" ht="15.5" x14ac:dyDescent="0.35">
      <c r="B58" s="9"/>
      <c r="C58" s="9"/>
      <c r="D58" s="1"/>
      <c r="E58" s="9"/>
      <c r="F58" s="10"/>
      <c r="G58" s="10" t="str">
        <f>IF(Agosto[[#This Row],[COTIZACION]]="", "", Agosto[[#This Row],[ARS]]/Agosto[[#This Row],[COTIZACION]])</f>
        <v/>
      </c>
      <c r="H58" s="10"/>
    </row>
    <row r="59" spans="2:8" ht="15.5" x14ac:dyDescent="0.35">
      <c r="B59" s="9"/>
      <c r="C59" s="9"/>
      <c r="D59" s="1"/>
      <c r="E59" s="9"/>
      <c r="F59" s="10"/>
      <c r="G59" s="10" t="str">
        <f>IF(Agosto[[#This Row],[COTIZACION]]="", "", Agosto[[#This Row],[ARS]]/Agosto[[#This Row],[COTIZACION]])</f>
        <v/>
      </c>
      <c r="H59" s="10"/>
    </row>
    <row r="60" spans="2:8" ht="15.5" x14ac:dyDescent="0.35">
      <c r="B60" s="9"/>
      <c r="C60" s="9"/>
      <c r="D60" s="1"/>
      <c r="E60" s="9"/>
      <c r="F60" s="10"/>
      <c r="G60" s="10" t="str">
        <f>IF(Agosto[[#This Row],[COTIZACION]]="", "", Agosto[[#This Row],[ARS]]/Agosto[[#This Row],[COTIZACION]])</f>
        <v/>
      </c>
      <c r="H60" s="10"/>
    </row>
    <row r="61" spans="2:8" ht="15.5" x14ac:dyDescent="0.35">
      <c r="B61" s="9"/>
      <c r="C61" s="9"/>
      <c r="D61" s="1"/>
      <c r="E61" s="9"/>
      <c r="F61" s="10"/>
      <c r="G61" s="10" t="str">
        <f>IF(Agosto[[#This Row],[COTIZACION]]="", "", Agosto[[#This Row],[ARS]]/Agosto[[#This Row],[COTIZACION]])</f>
        <v/>
      </c>
      <c r="H61" s="10"/>
    </row>
    <row r="62" spans="2:8" ht="15.5" x14ac:dyDescent="0.35">
      <c r="B62" s="9"/>
      <c r="C62" s="9"/>
      <c r="D62" s="1"/>
      <c r="E62" s="9"/>
      <c r="F62" s="10"/>
      <c r="G62" s="10" t="str">
        <f>IF(Agosto[[#This Row],[COTIZACION]]="", "", Agosto[[#This Row],[ARS]]/Agosto[[#This Row],[COTIZACION]])</f>
        <v/>
      </c>
      <c r="H62" s="10"/>
    </row>
    <row r="63" spans="2:8" ht="15.5" x14ac:dyDescent="0.35">
      <c r="B63" s="9"/>
      <c r="C63" s="9"/>
      <c r="D63" s="1"/>
      <c r="E63" s="9"/>
      <c r="F63" s="10"/>
      <c r="G63" s="10" t="str">
        <f>IF(Agosto[[#This Row],[COTIZACION]]="", "", Agosto[[#This Row],[ARS]]/Agosto[[#This Row],[COTIZACION]])</f>
        <v/>
      </c>
      <c r="H63" s="10"/>
    </row>
    <row r="64" spans="2:8" ht="15.5" x14ac:dyDescent="0.35">
      <c r="B64" s="9"/>
      <c r="C64" s="9"/>
      <c r="D64" s="1"/>
      <c r="E64" s="9"/>
      <c r="F64" s="10"/>
      <c r="G64" s="10" t="str">
        <f>IF(Agosto[[#This Row],[COTIZACION]]="", "", Agosto[[#This Row],[ARS]]/Agosto[[#This Row],[COTIZACION]])</f>
        <v/>
      </c>
      <c r="H64" s="10"/>
    </row>
    <row r="65" spans="2:8" ht="15.5" x14ac:dyDescent="0.35">
      <c r="B65" s="9"/>
      <c r="C65" s="9"/>
      <c r="D65" s="1"/>
      <c r="E65" s="9"/>
      <c r="F65" s="10"/>
      <c r="G65" s="10" t="str">
        <f>IF(Agosto[[#This Row],[COTIZACION]]="", "", Agosto[[#This Row],[ARS]]/Agosto[[#This Row],[COTIZACION]])</f>
        <v/>
      </c>
      <c r="H65" s="10"/>
    </row>
    <row r="66" spans="2:8" ht="15.5" x14ac:dyDescent="0.35">
      <c r="B66" s="9"/>
      <c r="C66" s="9"/>
      <c r="D66" s="1"/>
      <c r="E66" s="9"/>
      <c r="F66" s="10"/>
      <c r="G66" s="10" t="str">
        <f>IF(Agosto[[#This Row],[COTIZACION]]="", "", Agosto[[#This Row],[ARS]]/Agosto[[#This Row],[COTIZACION]])</f>
        <v/>
      </c>
      <c r="H66" s="10"/>
    </row>
    <row r="67" spans="2:8" ht="15.5" x14ac:dyDescent="0.35">
      <c r="B67" s="9"/>
      <c r="C67" s="9"/>
      <c r="D67" s="1"/>
      <c r="E67" s="9"/>
      <c r="F67" s="10"/>
      <c r="G67" s="10" t="str">
        <f>IF(Agosto[[#This Row],[COTIZACION]]="", "", Agosto[[#This Row],[ARS]]/Agosto[[#This Row],[COTIZACION]])</f>
        <v/>
      </c>
      <c r="H67" s="10"/>
    </row>
    <row r="68" spans="2:8" ht="15.5" x14ac:dyDescent="0.35">
      <c r="B68" s="9"/>
      <c r="C68" s="9"/>
      <c r="D68" s="1"/>
      <c r="E68" s="9"/>
      <c r="F68" s="10"/>
      <c r="G68" s="10" t="str">
        <f>IF(Agosto[[#This Row],[COTIZACION]]="", "", Agosto[[#This Row],[ARS]]/Agosto[[#This Row],[COTIZACION]])</f>
        <v/>
      </c>
      <c r="H68" s="10"/>
    </row>
    <row r="69" spans="2:8" ht="15.5" x14ac:dyDescent="0.35">
      <c r="B69" s="9"/>
      <c r="C69" s="9"/>
      <c r="D69" s="1"/>
      <c r="E69" s="9"/>
      <c r="F69" s="10"/>
      <c r="G69" s="10" t="str">
        <f>IF(Agosto[[#This Row],[COTIZACION]]="", "", Agosto[[#This Row],[ARS]]/Agosto[[#This Row],[COTIZACION]])</f>
        <v/>
      </c>
      <c r="H69" s="10"/>
    </row>
    <row r="70" spans="2:8" ht="15.5" x14ac:dyDescent="0.35">
      <c r="B70" s="9"/>
      <c r="C70" s="9"/>
      <c r="D70" s="1"/>
      <c r="E70" s="9"/>
      <c r="F70" s="10"/>
      <c r="G70" s="10" t="str">
        <f>IF(Agosto[[#This Row],[COTIZACION]]="", "", Agosto[[#This Row],[ARS]]/Agosto[[#This Row],[COTIZACION]])</f>
        <v/>
      </c>
      <c r="H70" s="10"/>
    </row>
    <row r="71" spans="2:8" ht="15.5" x14ac:dyDescent="0.35">
      <c r="B71" s="9"/>
      <c r="C71" s="9"/>
      <c r="D71" s="1"/>
      <c r="E71" s="9"/>
      <c r="F71" s="10"/>
      <c r="G71" s="10" t="str">
        <f>IF(Agosto[[#This Row],[COTIZACION]]="", "", Agosto[[#This Row],[ARS]]/Agosto[[#This Row],[COTIZACION]])</f>
        <v/>
      </c>
      <c r="H71" s="10"/>
    </row>
    <row r="72" spans="2:8" ht="15.5" x14ac:dyDescent="0.35">
      <c r="B72" s="9"/>
      <c r="C72" s="9"/>
      <c r="D72" s="1"/>
      <c r="E72" s="9"/>
      <c r="F72" s="10"/>
      <c r="G72" s="10" t="str">
        <f>IF(Agosto[[#This Row],[COTIZACION]]="", "", Agosto[[#This Row],[ARS]]/Agosto[[#This Row],[COTIZACION]])</f>
        <v/>
      </c>
      <c r="H72" s="10"/>
    </row>
    <row r="73" spans="2:8" ht="15.5" x14ac:dyDescent="0.35">
      <c r="B73" s="9"/>
      <c r="C73" s="9"/>
      <c r="D73" s="1"/>
      <c r="E73" s="9"/>
      <c r="F73" s="10"/>
      <c r="G73" s="10" t="str">
        <f>IF(Agosto[[#This Row],[COTIZACION]]="", "", Agosto[[#This Row],[ARS]]/Agosto[[#This Row],[COTIZACION]])</f>
        <v/>
      </c>
      <c r="H73" s="10"/>
    </row>
    <row r="74" spans="2:8" ht="15.5" x14ac:dyDescent="0.35">
      <c r="B74" s="9"/>
      <c r="C74" s="9"/>
      <c r="D74" s="1"/>
      <c r="E74" s="9"/>
      <c r="F74" s="10"/>
      <c r="G74" s="10" t="str">
        <f>IF(Agosto[[#This Row],[COTIZACION]]="", "", Agosto[[#This Row],[ARS]]/Agosto[[#This Row],[COTIZACION]])</f>
        <v/>
      </c>
      <c r="H74" s="10"/>
    </row>
    <row r="75" spans="2:8" ht="15.5" x14ac:dyDescent="0.35">
      <c r="B75" s="9"/>
      <c r="C75" s="9"/>
      <c r="D75" s="1"/>
      <c r="E75" s="9"/>
      <c r="F75" s="10"/>
      <c r="G75" s="10" t="str">
        <f>IF(Agosto[[#This Row],[COTIZACION]]="", "", Agosto[[#This Row],[ARS]]/Agosto[[#This Row],[COTIZACION]])</f>
        <v/>
      </c>
      <c r="H75" s="10"/>
    </row>
    <row r="76" spans="2:8" ht="15.5" x14ac:dyDescent="0.35">
      <c r="B76" s="9"/>
      <c r="C76" s="9"/>
      <c r="D76" s="1"/>
      <c r="E76" s="9"/>
      <c r="F76" s="10"/>
      <c r="G76" s="10" t="str">
        <f>IF(Agosto[[#This Row],[COTIZACION]]="", "", Agosto[[#This Row],[ARS]]/Agosto[[#This Row],[COTIZACION]])</f>
        <v/>
      </c>
      <c r="H76" s="10"/>
    </row>
    <row r="77" spans="2:8" ht="15.5" x14ac:dyDescent="0.35">
      <c r="B77" s="9"/>
      <c r="C77" s="9"/>
      <c r="D77" s="1"/>
      <c r="E77" s="9"/>
      <c r="F77" s="10"/>
      <c r="G77" s="10" t="str">
        <f>IF(Agosto[[#This Row],[COTIZACION]]="", "", Agosto[[#This Row],[ARS]]/Agosto[[#This Row],[COTIZACION]])</f>
        <v/>
      </c>
      <c r="H77" s="10"/>
    </row>
    <row r="78" spans="2:8" ht="15.5" x14ac:dyDescent="0.35">
      <c r="B78" s="9"/>
      <c r="C78" s="9"/>
      <c r="D78" s="1"/>
      <c r="E78" s="9"/>
      <c r="F78" s="10"/>
      <c r="G78" s="10" t="str">
        <f>IF(Agosto[[#This Row],[COTIZACION]]="", "", Agosto[[#This Row],[ARS]]/Agosto[[#This Row],[COTIZACION]])</f>
        <v/>
      </c>
      <c r="H78" s="10"/>
    </row>
    <row r="79" spans="2:8" ht="15.5" x14ac:dyDescent="0.35">
      <c r="B79" s="9"/>
      <c r="C79" s="9"/>
      <c r="D79" s="1"/>
      <c r="E79" s="9"/>
      <c r="F79" s="10"/>
      <c r="G79" s="10" t="str">
        <f>IF(Agosto[[#This Row],[COTIZACION]]="", "", Agosto[[#This Row],[ARS]]/Agosto[[#This Row],[COTIZACION]])</f>
        <v/>
      </c>
      <c r="H79" s="10"/>
    </row>
    <row r="80" spans="2:8" ht="15.5" x14ac:dyDescent="0.35">
      <c r="B80" s="9"/>
      <c r="C80" s="9"/>
      <c r="D80" s="1"/>
      <c r="E80" s="9"/>
      <c r="F80" s="10"/>
      <c r="G80" s="10" t="str">
        <f>IF(Agosto[[#This Row],[COTIZACION]]="", "", Agosto[[#This Row],[ARS]]/Agosto[[#This Row],[COTIZACION]])</f>
        <v/>
      </c>
      <c r="H80" s="10"/>
    </row>
    <row r="81" spans="2:8" ht="15.5" x14ac:dyDescent="0.35">
      <c r="B81" s="9"/>
      <c r="C81" s="9"/>
      <c r="D81" s="1"/>
      <c r="E81" s="9"/>
      <c r="F81" s="10"/>
      <c r="G81" s="10" t="str">
        <f>IF(Agosto[[#This Row],[COTIZACION]]="", "", Agosto[[#This Row],[ARS]]/Agosto[[#This Row],[COTIZACION]])</f>
        <v/>
      </c>
      <c r="H81" s="10"/>
    </row>
    <row r="82" spans="2:8" ht="15.5" x14ac:dyDescent="0.35">
      <c r="B82" s="9"/>
      <c r="C82" s="9"/>
      <c r="D82" s="1"/>
      <c r="E82" s="9"/>
      <c r="F82" s="10"/>
      <c r="G82" s="10" t="str">
        <f>IF(Agosto[[#This Row],[COTIZACION]]="", "", Agosto[[#This Row],[ARS]]/Agosto[[#This Row],[COTIZACION]])</f>
        <v/>
      </c>
      <c r="H82" s="10"/>
    </row>
    <row r="83" spans="2:8" ht="15.5" x14ac:dyDescent="0.35">
      <c r="B83" s="9"/>
      <c r="C83" s="9"/>
      <c r="D83" s="1"/>
      <c r="E83" s="9"/>
      <c r="F83" s="10"/>
      <c r="G83" s="10" t="str">
        <f>IF(Agosto[[#This Row],[COTIZACION]]="", "", Agosto[[#This Row],[ARS]]/Agosto[[#This Row],[COTIZACION]])</f>
        <v/>
      </c>
      <c r="H83" s="10"/>
    </row>
    <row r="84" spans="2:8" ht="15.5" x14ac:dyDescent="0.35">
      <c r="B84" s="9"/>
      <c r="C84" s="9"/>
      <c r="D84" s="1"/>
      <c r="E84" s="9"/>
      <c r="F84" s="10"/>
      <c r="G84" s="10" t="str">
        <f>IF(Agosto[[#This Row],[COTIZACION]]="", "", Agosto[[#This Row],[ARS]]/Agosto[[#This Row],[COTIZACION]])</f>
        <v/>
      </c>
      <c r="H84" s="10"/>
    </row>
    <row r="85" spans="2:8" ht="15.5" x14ac:dyDescent="0.35">
      <c r="B85" s="9"/>
      <c r="C85" s="9"/>
      <c r="D85" s="1"/>
      <c r="E85" s="9"/>
      <c r="F85" s="10"/>
      <c r="G85" s="10" t="str">
        <f>IF(Agosto[[#This Row],[COTIZACION]]="", "", Agosto[[#This Row],[ARS]]/Agosto[[#This Row],[COTIZACION]])</f>
        <v/>
      </c>
      <c r="H85" s="10"/>
    </row>
    <row r="86" spans="2:8" ht="15.5" x14ac:dyDescent="0.35">
      <c r="B86" s="9"/>
      <c r="C86" s="9"/>
      <c r="D86" s="1"/>
      <c r="E86" s="9"/>
      <c r="F86" s="10"/>
      <c r="G86" s="10" t="str">
        <f>IF(Agosto[[#This Row],[COTIZACION]]="", "", Agosto[[#This Row],[ARS]]/Agosto[[#This Row],[COTIZACION]])</f>
        <v/>
      </c>
      <c r="H86" s="10"/>
    </row>
    <row r="87" spans="2:8" ht="15.5" x14ac:dyDescent="0.35">
      <c r="B87" s="9"/>
      <c r="C87" s="9"/>
      <c r="D87" s="1"/>
      <c r="E87" s="9"/>
      <c r="F87" s="10"/>
      <c r="G87" s="10" t="str">
        <f>IF(Agosto[[#This Row],[COTIZACION]]="", "", Agosto[[#This Row],[ARS]]/Agosto[[#This Row],[COTIZACION]])</f>
        <v/>
      </c>
      <c r="H87" s="10"/>
    </row>
    <row r="88" spans="2:8" ht="15.5" x14ac:dyDescent="0.35">
      <c r="B88" s="9"/>
      <c r="C88" s="9"/>
      <c r="D88" s="1"/>
      <c r="E88" s="9"/>
      <c r="F88" s="10"/>
      <c r="G88" s="10" t="str">
        <f>IF(Agosto[[#This Row],[COTIZACION]]="", "", Agosto[[#This Row],[ARS]]/Agosto[[#This Row],[COTIZACION]])</f>
        <v/>
      </c>
      <c r="H88" s="10"/>
    </row>
    <row r="89" spans="2:8" ht="15.5" x14ac:dyDescent="0.35">
      <c r="B89" s="9"/>
      <c r="C89" s="9"/>
      <c r="D89" s="1"/>
      <c r="E89" s="9"/>
      <c r="F89" s="10"/>
      <c r="G89" s="10" t="str">
        <f>IF(Agosto[[#This Row],[COTIZACION]]="", "", Agosto[[#This Row],[ARS]]/Agosto[[#This Row],[COTIZACION]])</f>
        <v/>
      </c>
      <c r="H89" s="10"/>
    </row>
    <row r="90" spans="2:8" ht="15.5" x14ac:dyDescent="0.35">
      <c r="B90" s="9"/>
      <c r="C90" s="9"/>
      <c r="D90" s="1"/>
      <c r="E90" s="9"/>
      <c r="F90" s="10"/>
      <c r="G90" s="10" t="str">
        <f>IF(Agosto[[#This Row],[COTIZACION]]="", "", Agosto[[#This Row],[ARS]]/Agosto[[#This Row],[COTIZACION]])</f>
        <v/>
      </c>
      <c r="H90" s="10"/>
    </row>
    <row r="91" spans="2:8" ht="15.5" x14ac:dyDescent="0.35">
      <c r="B91" s="9"/>
      <c r="C91" s="9"/>
      <c r="D91" s="1"/>
      <c r="E91" s="9"/>
      <c r="F91" s="10"/>
      <c r="G91" s="10" t="str">
        <f>IF(Agosto[[#This Row],[COTIZACION]]="", "", Agosto[[#This Row],[ARS]]/Agosto[[#This Row],[COTIZACION]])</f>
        <v/>
      </c>
      <c r="H91" s="10"/>
    </row>
    <row r="92" spans="2:8" ht="15.5" x14ac:dyDescent="0.35">
      <c r="B92" s="9"/>
      <c r="C92" s="9"/>
      <c r="D92" s="1"/>
      <c r="E92" s="9"/>
      <c r="F92" s="10"/>
      <c r="G92" s="10" t="str">
        <f>IF(Agosto[[#This Row],[COTIZACION]]="", "", Agosto[[#This Row],[ARS]]/Agosto[[#This Row],[COTIZACION]])</f>
        <v/>
      </c>
      <c r="H92" s="10"/>
    </row>
    <row r="93" spans="2:8" ht="15.5" x14ac:dyDescent="0.35">
      <c r="B93" s="9"/>
      <c r="C93" s="9"/>
      <c r="D93" s="1"/>
      <c r="E93" s="9"/>
      <c r="F93" s="10"/>
      <c r="G93" s="10" t="str">
        <f>IF(Agosto[[#This Row],[COTIZACION]]="", "", Agosto[[#This Row],[ARS]]/Agosto[[#This Row],[COTIZACION]])</f>
        <v/>
      </c>
      <c r="H93" s="10"/>
    </row>
    <row r="94" spans="2:8" ht="15.5" x14ac:dyDescent="0.35">
      <c r="B94" s="9"/>
      <c r="C94" s="9"/>
      <c r="D94" s="1"/>
      <c r="E94" s="9"/>
      <c r="F94" s="10"/>
      <c r="G94" s="10" t="str">
        <f>IF(Agosto[[#This Row],[COTIZACION]]="", "", Agosto[[#This Row],[ARS]]/Agosto[[#This Row],[COTIZACION]])</f>
        <v/>
      </c>
      <c r="H94" s="10"/>
    </row>
    <row r="95" spans="2:8" ht="15.5" x14ac:dyDescent="0.35">
      <c r="B95" s="35"/>
      <c r="C95" s="35"/>
      <c r="D95" s="36"/>
      <c r="E95" s="35"/>
      <c r="F95" s="37"/>
      <c r="G95" s="37" t="str">
        <f>IF(Agosto[[#This Row],[COTIZACION]]="", "", Agosto[[#This Row],[ARS]]/Agosto[[#This Row],[COTIZACION]])</f>
        <v/>
      </c>
      <c r="H95" s="37"/>
    </row>
  </sheetData>
  <dataConsolidate/>
  <mergeCells count="1">
    <mergeCell ref="F1:H1"/>
  </mergeCells>
  <phoneticPr fontId="3" type="noConversion"/>
  <dataValidations count="2">
    <dataValidation type="list" allowBlank="1" showInputMessage="1" showErrorMessage="1" sqref="B6:B95" xr:uid="{00000000-0002-0000-0B00-000000000000}">
      <formula1>Categorías</formula1>
    </dataValidation>
    <dataValidation type="list" allowBlank="1" showInputMessage="1" showErrorMessage="1" sqref="C6:C95" xr:uid="{00000000-0002-0000-0B00-000001000000}">
      <formula1>INDIRECT($B6)</formula1>
    </dataValidation>
  </dataValidations>
  <pageMargins left="0.7" right="0.7" top="0.75" bottom="0.75" header="0.3" footer="0.3"/>
  <pageSetup paperSize="9" orientation="portrait" r:id="rId1"/>
  <ignoredErrors>
    <ignoredError sqref="H3:H4" unlockedFormula="1"/>
  </ignoredErrors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05ED-9704-4E56-A2A9-D9D3B416057F}">
  <dimension ref="B1:K38"/>
  <sheetViews>
    <sheetView workbookViewId="0">
      <selection activeCell="E7" sqref="E7"/>
    </sheetView>
  </sheetViews>
  <sheetFormatPr defaultRowHeight="14.5" x14ac:dyDescent="0.35"/>
  <cols>
    <col min="4" max="4" width="20.1796875" bestFit="1" customWidth="1"/>
    <col min="5" max="5" width="13.54296875" style="109" bestFit="1" customWidth="1"/>
    <col min="6" max="6" width="10" bestFit="1" customWidth="1"/>
    <col min="7" max="7" width="8.26953125" customWidth="1"/>
    <col min="8" max="8" width="11.81640625" bestFit="1" customWidth="1"/>
    <col min="9" max="9" width="12.08984375" bestFit="1" customWidth="1"/>
    <col min="10" max="12" width="13.26953125" bestFit="1" customWidth="1"/>
    <col min="13" max="14" width="11.81640625" bestFit="1" customWidth="1"/>
  </cols>
  <sheetData>
    <row r="1" spans="2:9" x14ac:dyDescent="0.35">
      <c r="C1" s="113" t="s">
        <v>99</v>
      </c>
      <c r="D1" s="113" t="s">
        <v>100</v>
      </c>
      <c r="E1" s="114" t="s">
        <v>64</v>
      </c>
      <c r="F1" s="113" t="s">
        <v>63</v>
      </c>
      <c r="H1" s="109">
        <v>1180</v>
      </c>
      <c r="I1" s="109"/>
    </row>
    <row r="3" spans="2:9" ht="15.5" x14ac:dyDescent="0.35">
      <c r="B3" t="s">
        <v>118</v>
      </c>
      <c r="C3" s="56"/>
      <c r="D3" s="56"/>
      <c r="E3" s="119"/>
      <c r="F3" s="119"/>
    </row>
    <row r="4" spans="2:9" ht="15.5" x14ac:dyDescent="0.35">
      <c r="C4" s="56"/>
      <c r="D4" s="56"/>
      <c r="E4" s="119"/>
      <c r="F4" s="119"/>
    </row>
    <row r="5" spans="2:9" ht="15.5" x14ac:dyDescent="0.35">
      <c r="C5" s="56">
        <v>10</v>
      </c>
      <c r="D5" s="56" t="s">
        <v>92</v>
      </c>
      <c r="E5" s="119">
        <v>180000</v>
      </c>
      <c r="F5" s="119">
        <f>E5/H1</f>
        <v>152.54237288135593</v>
      </c>
    </row>
    <row r="6" spans="2:9" ht="15.5" x14ac:dyDescent="0.35">
      <c r="C6" s="56">
        <v>10</v>
      </c>
      <c r="D6" s="56" t="s">
        <v>76</v>
      </c>
      <c r="E6" s="120">
        <v>322865</v>
      </c>
      <c r="F6" s="119">
        <f>E6/H1</f>
        <v>273.61440677966101</v>
      </c>
    </row>
    <row r="7" spans="2:9" ht="15.5" x14ac:dyDescent="0.35">
      <c r="C7">
        <v>10</v>
      </c>
      <c r="D7" s="112" t="s">
        <v>97</v>
      </c>
      <c r="E7" s="111">
        <v>41119</v>
      </c>
      <c r="F7" s="110">
        <f>E7/H1</f>
        <v>34.846610169491527</v>
      </c>
    </row>
    <row r="8" spans="2:9" ht="15.5" x14ac:dyDescent="0.35">
      <c r="C8">
        <v>12</v>
      </c>
      <c r="D8" s="112" t="s">
        <v>102</v>
      </c>
      <c r="E8" s="111">
        <v>125800</v>
      </c>
      <c r="F8" s="110">
        <f>E8/H1</f>
        <v>106.61016949152543</v>
      </c>
    </row>
    <row r="9" spans="2:9" ht="15.5" x14ac:dyDescent="0.35">
      <c r="C9">
        <v>21</v>
      </c>
      <c r="D9" s="112" t="s">
        <v>84</v>
      </c>
      <c r="E9" s="111">
        <v>26000</v>
      </c>
      <c r="F9" s="110">
        <f>E9/H1</f>
        <v>22.033898305084747</v>
      </c>
    </row>
    <row r="10" spans="2:9" ht="15.5" x14ac:dyDescent="0.35">
      <c r="C10">
        <v>21</v>
      </c>
      <c r="D10" s="112" t="s">
        <v>84</v>
      </c>
      <c r="E10" s="111">
        <v>26000</v>
      </c>
      <c r="F10" s="110">
        <f>E10/H1</f>
        <v>22.033898305084747</v>
      </c>
    </row>
    <row r="11" spans="2:9" ht="15.5" x14ac:dyDescent="0.35">
      <c r="C11">
        <v>21</v>
      </c>
      <c r="D11" s="112" t="s">
        <v>93</v>
      </c>
      <c r="E11" s="111">
        <v>26000</v>
      </c>
      <c r="F11" s="110">
        <f>E11/H1</f>
        <v>22.033898305084747</v>
      </c>
    </row>
    <row r="12" spans="2:9" ht="15.5" x14ac:dyDescent="0.35">
      <c r="C12">
        <v>21</v>
      </c>
      <c r="D12" s="112" t="s">
        <v>84</v>
      </c>
      <c r="E12" s="111">
        <v>26000</v>
      </c>
      <c r="F12" s="110">
        <f>E12/H1</f>
        <v>22.033898305084747</v>
      </c>
    </row>
    <row r="13" spans="2:9" ht="15.5" x14ac:dyDescent="0.35">
      <c r="C13">
        <v>21</v>
      </c>
      <c r="D13" s="112" t="s">
        <v>84</v>
      </c>
      <c r="E13" s="111">
        <v>26000</v>
      </c>
      <c r="F13" s="110">
        <f>E13/H1</f>
        <v>22.033898305084747</v>
      </c>
    </row>
    <row r="14" spans="2:9" ht="15.5" x14ac:dyDescent="0.35">
      <c r="D14" s="112" t="s">
        <v>104</v>
      </c>
      <c r="E14" s="111">
        <v>43000</v>
      </c>
      <c r="F14" s="110">
        <f>E14/H1</f>
        <v>36.440677966101696</v>
      </c>
    </row>
    <row r="15" spans="2:9" ht="15.5" x14ac:dyDescent="0.35">
      <c r="D15" s="112"/>
      <c r="E15" s="111"/>
      <c r="F15" s="110"/>
    </row>
    <row r="17" spans="2:9" ht="15.5" x14ac:dyDescent="0.35">
      <c r="C17" s="115"/>
      <c r="D17" s="116" t="s">
        <v>98</v>
      </c>
      <c r="E17" s="117">
        <f>SUM(E2:E16)</f>
        <v>842784</v>
      </c>
      <c r="F17" s="118">
        <f>SUM(F2:F16)</f>
        <v>714.22372881355955</v>
      </c>
    </row>
    <row r="21" spans="2:9" x14ac:dyDescent="0.35">
      <c r="B21" t="s">
        <v>129</v>
      </c>
    </row>
    <row r="22" spans="2:9" ht="15.5" x14ac:dyDescent="0.35">
      <c r="C22" s="56">
        <v>5</v>
      </c>
      <c r="D22" s="56" t="s">
        <v>95</v>
      </c>
      <c r="E22" s="119">
        <v>447565</v>
      </c>
      <c r="F22" s="110">
        <f>E22/H1</f>
        <v>379.29237288135596</v>
      </c>
    </row>
    <row r="23" spans="2:9" ht="15.5" x14ac:dyDescent="0.35">
      <c r="C23" s="56">
        <v>5</v>
      </c>
      <c r="D23" s="56" t="s">
        <v>96</v>
      </c>
      <c r="E23" s="119">
        <v>5500</v>
      </c>
      <c r="F23" s="110">
        <f>E23/H1</f>
        <v>4.6610169491525424</v>
      </c>
    </row>
    <row r="24" spans="2:9" ht="15.5" x14ac:dyDescent="0.35">
      <c r="C24">
        <v>21</v>
      </c>
      <c r="D24" s="112" t="s">
        <v>93</v>
      </c>
      <c r="E24" s="111">
        <v>26000</v>
      </c>
      <c r="F24" s="110">
        <f>E24/H1</f>
        <v>22.033898305084747</v>
      </c>
    </row>
    <row r="25" spans="2:9" ht="15.5" x14ac:dyDescent="0.35">
      <c r="C25">
        <v>21</v>
      </c>
      <c r="D25" s="112" t="s">
        <v>84</v>
      </c>
      <c r="E25" s="111">
        <v>26000</v>
      </c>
      <c r="F25" s="110">
        <f>E25/H1</f>
        <v>22.033898305084747</v>
      </c>
      <c r="I25" s="110"/>
    </row>
    <row r="26" spans="2:9" ht="15.5" x14ac:dyDescent="0.35">
      <c r="C26">
        <v>21</v>
      </c>
      <c r="D26" s="112" t="s">
        <v>84</v>
      </c>
      <c r="E26" s="111">
        <v>26000</v>
      </c>
      <c r="F26" s="110">
        <f>E26/H1</f>
        <v>22.033898305084747</v>
      </c>
      <c r="I26" s="110"/>
    </row>
    <row r="27" spans="2:9" ht="15.5" x14ac:dyDescent="0.35">
      <c r="D27" s="112" t="s">
        <v>104</v>
      </c>
      <c r="E27" s="111">
        <v>43000</v>
      </c>
      <c r="F27" s="110">
        <f>E27/H1</f>
        <v>36.440677966101696</v>
      </c>
    </row>
    <row r="28" spans="2:9" ht="15.5" x14ac:dyDescent="0.35">
      <c r="D28" s="112" t="s">
        <v>117</v>
      </c>
      <c r="E28" s="111">
        <v>32000</v>
      </c>
      <c r="F28" s="110">
        <f>E28/H1</f>
        <v>27.118644067796609</v>
      </c>
    </row>
    <row r="29" spans="2:9" ht="15.5" x14ac:dyDescent="0.35">
      <c r="D29" s="112" t="s">
        <v>123</v>
      </c>
      <c r="E29" s="111">
        <v>27000</v>
      </c>
      <c r="F29" s="110">
        <f>E29/H1</f>
        <v>22.881355932203391</v>
      </c>
    </row>
    <row r="30" spans="2:9" ht="15.5" x14ac:dyDescent="0.35">
      <c r="D30" s="112"/>
      <c r="E30" s="111"/>
      <c r="F30" s="110"/>
    </row>
    <row r="31" spans="2:9" ht="15.5" x14ac:dyDescent="0.35">
      <c r="D31" s="112"/>
      <c r="E31" s="111"/>
      <c r="F31" s="110"/>
    </row>
    <row r="33" spans="3:11" ht="15.5" x14ac:dyDescent="0.35">
      <c r="C33" s="115"/>
      <c r="D33" s="116" t="s">
        <v>98</v>
      </c>
      <c r="E33" s="117">
        <f>SUM(E21:E32)</f>
        <v>633065</v>
      </c>
      <c r="F33" s="118">
        <f>SUM(F21:F32)</f>
        <v>536.49576271186447</v>
      </c>
    </row>
    <row r="34" spans="3:11" x14ac:dyDescent="0.35">
      <c r="H34" s="109"/>
      <c r="I34" s="109"/>
      <c r="J34" s="109"/>
      <c r="K34" s="109"/>
    </row>
    <row r="35" spans="3:11" x14ac:dyDescent="0.35">
      <c r="H35" s="109"/>
      <c r="I35" s="109"/>
      <c r="J35" s="109"/>
      <c r="K35" s="109"/>
    </row>
    <row r="36" spans="3:11" x14ac:dyDescent="0.35">
      <c r="H36" s="109"/>
      <c r="I36" s="109"/>
      <c r="J36" s="109"/>
      <c r="K36" s="109"/>
    </row>
    <row r="37" spans="3:11" x14ac:dyDescent="0.35">
      <c r="H37" s="109"/>
      <c r="I37" s="109"/>
      <c r="J37" s="109"/>
      <c r="K37" s="109"/>
    </row>
    <row r="38" spans="3:11" x14ac:dyDescent="0.35">
      <c r="H38" s="109"/>
      <c r="I38" s="109"/>
      <c r="J38" s="109"/>
      <c r="K38" s="109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K100"/>
  <sheetViews>
    <sheetView showGridLines="0" topLeftCell="C1" zoomScale="112" zoomScaleNormal="112" workbookViewId="0">
      <pane ySplit="5" topLeftCell="A6" activePane="bottomLeft" state="frozen"/>
      <selection pane="bottomLeft" activeCell="B9" sqref="B9:F9"/>
    </sheetView>
  </sheetViews>
  <sheetFormatPr defaultColWidth="9.08984375" defaultRowHeight="14.5" x14ac:dyDescent="0.35"/>
  <cols>
    <col min="1" max="1" width="5.54296875" customWidth="1"/>
    <col min="2" max="2" width="23.08984375" customWidth="1"/>
    <col min="3" max="3" width="26.54296875" customWidth="1"/>
    <col min="4" max="4" width="12.6328125" style="2" customWidth="1"/>
    <col min="5" max="5" width="37" customWidth="1"/>
    <col min="6" max="8" width="17.36328125" style="3" customWidth="1"/>
    <col min="9" max="9" width="9.08984375" style="2" customWidth="1"/>
    <col min="10" max="10" width="16.54296875" bestFit="1" customWidth="1"/>
    <col min="11" max="11" width="11.90625" bestFit="1" customWidth="1"/>
    <col min="12" max="12" width="15.54296875" bestFit="1" customWidth="1"/>
  </cols>
  <sheetData>
    <row r="1" spans="2:11" s="4" customFormat="1" ht="18.5" x14ac:dyDescent="0.45">
      <c r="B1" s="25" t="s">
        <v>34</v>
      </c>
      <c r="C1" s="25"/>
      <c r="D1" s="25"/>
      <c r="E1" s="25"/>
      <c r="F1" s="137" t="s">
        <v>24</v>
      </c>
      <c r="G1" s="137"/>
      <c r="H1" s="137"/>
      <c r="I1" s="5"/>
    </row>
    <row r="2" spans="2:11" s="6" customFormat="1" ht="15" customHeight="1" x14ac:dyDescent="0.35">
      <c r="B2" s="2"/>
      <c r="D2" s="8"/>
      <c r="E2" s="27" t="s">
        <v>59</v>
      </c>
      <c r="F2" s="28">
        <f>SUM(Septiembre[ARS])</f>
        <v>7982831</v>
      </c>
      <c r="G2" s="28">
        <f>SUM(Septiembre[USD])</f>
        <v>6052.9263639425235</v>
      </c>
      <c r="H2" s="28"/>
      <c r="I2" s="8"/>
    </row>
    <row r="3" spans="2:11" s="6" customFormat="1" ht="15" customHeight="1" x14ac:dyDescent="0.35">
      <c r="B3" s="2"/>
      <c r="D3" s="8"/>
      <c r="E3" s="27" t="s">
        <v>65</v>
      </c>
      <c r="F3" s="29">
        <f>MAX(Septiembre[ARS])</f>
        <v>4750000</v>
      </c>
      <c r="G3" s="29">
        <f>MAX(Septiembre[USD])</f>
        <v>3625.9541984732823</v>
      </c>
      <c r="H3" s="29">
        <f>MAX(Septiembre[COTIZACION])</f>
        <v>1360</v>
      </c>
      <c r="I3" s="8"/>
    </row>
    <row r="4" spans="2:11" s="6" customFormat="1" ht="15" customHeight="1" x14ac:dyDescent="0.35">
      <c r="B4" s="2"/>
      <c r="D4" s="8"/>
      <c r="E4" s="27" t="s">
        <v>66</v>
      </c>
      <c r="F4" s="29">
        <f>MIN(Septiembre[ARS])</f>
        <v>7099</v>
      </c>
      <c r="G4" s="29">
        <f>MIN(Septiembre[USD])</f>
        <v>5.2198529411764705</v>
      </c>
      <c r="H4" s="29">
        <f>MIN(Septiembre[COTIZACION])</f>
        <v>1310</v>
      </c>
      <c r="I4" s="8"/>
    </row>
    <row r="5" spans="2:11" s="33" customFormat="1" ht="15.5" x14ac:dyDescent="0.35">
      <c r="B5" s="30" t="s">
        <v>35</v>
      </c>
      <c r="C5" s="30" t="s">
        <v>36</v>
      </c>
      <c r="D5" s="30" t="s">
        <v>37</v>
      </c>
      <c r="E5" s="30" t="s">
        <v>13</v>
      </c>
      <c r="F5" s="30" t="s">
        <v>64</v>
      </c>
      <c r="G5" s="70" t="s">
        <v>63</v>
      </c>
      <c r="H5" s="70" t="s">
        <v>62</v>
      </c>
      <c r="I5" s="34"/>
      <c r="J5" s="11"/>
    </row>
    <row r="6" spans="2:11" ht="15.75" customHeight="1" x14ac:dyDescent="0.35">
      <c r="B6" s="9" t="s">
        <v>14</v>
      </c>
      <c r="C6" s="9" t="s">
        <v>72</v>
      </c>
      <c r="D6" s="1"/>
      <c r="E6" s="9" t="s">
        <v>72</v>
      </c>
      <c r="F6" s="10">
        <v>871632</v>
      </c>
      <c r="G6" s="10">
        <f>IF(Septiembre[[#This Row],[COTIZACION]]="", "", Septiembre[[#This Row],[ARS]]/Septiembre[[#This Row],[COTIZACION]])</f>
        <v>640.90588235294115</v>
      </c>
      <c r="H6" s="98">
        <v>1360</v>
      </c>
      <c r="I6"/>
      <c r="K6" s="2"/>
    </row>
    <row r="7" spans="2:11" ht="15.75" customHeight="1" x14ac:dyDescent="0.35">
      <c r="B7" s="96" t="s">
        <v>14</v>
      </c>
      <c r="C7" s="96" t="s">
        <v>3</v>
      </c>
      <c r="D7" s="97"/>
      <c r="E7" s="96" t="s">
        <v>96</v>
      </c>
      <c r="F7" s="98">
        <v>7099</v>
      </c>
      <c r="G7" s="98">
        <f>IF(Septiembre[[#This Row],[COTIZACION]]="", "", Septiembre[[#This Row],[ARS]]/Septiembre[[#This Row],[COTIZACION]])</f>
        <v>5.2198529411764705</v>
      </c>
      <c r="H7" s="98">
        <v>1360</v>
      </c>
      <c r="I7"/>
      <c r="K7" s="2"/>
    </row>
    <row r="8" spans="2:11" ht="15.75" customHeight="1" x14ac:dyDescent="0.35">
      <c r="B8" s="96" t="s">
        <v>14</v>
      </c>
      <c r="C8" s="96" t="s">
        <v>75</v>
      </c>
      <c r="D8" s="97" t="s">
        <v>232</v>
      </c>
      <c r="E8" s="96" t="s">
        <v>233</v>
      </c>
      <c r="F8" s="98">
        <v>162600</v>
      </c>
      <c r="G8" s="98">
        <f>IF(Septiembre[[#This Row],[COTIZACION]]="", "", Septiembre[[#This Row],[ARS]]/Septiembre[[#This Row],[COTIZACION]])</f>
        <v>119.55882352941177</v>
      </c>
      <c r="H8" s="98">
        <v>1360</v>
      </c>
      <c r="I8"/>
      <c r="K8" s="2"/>
    </row>
    <row r="9" spans="2:11" ht="15.75" customHeight="1" x14ac:dyDescent="0.35">
      <c r="B9" s="96" t="s">
        <v>14</v>
      </c>
      <c r="C9" s="96" t="s">
        <v>4</v>
      </c>
      <c r="D9" s="97" t="s">
        <v>232</v>
      </c>
      <c r="E9" s="96" t="s">
        <v>143</v>
      </c>
      <c r="F9" s="98">
        <v>16200</v>
      </c>
      <c r="G9" s="98">
        <f>IF(Septiembre[[#This Row],[COTIZACION]]="", "", Septiembre[[#This Row],[ARS]]/Septiembre[[#This Row],[COTIZACION]])</f>
        <v>11.911764705882353</v>
      </c>
      <c r="H9" s="98">
        <v>1360</v>
      </c>
      <c r="I9"/>
      <c r="K9" s="2"/>
    </row>
    <row r="10" spans="2:11" ht="15.75" customHeight="1" x14ac:dyDescent="0.35">
      <c r="B10" s="96" t="s">
        <v>14</v>
      </c>
      <c r="C10" s="96" t="s">
        <v>33</v>
      </c>
      <c r="D10" s="97" t="s">
        <v>232</v>
      </c>
      <c r="E10" s="96" t="s">
        <v>234</v>
      </c>
      <c r="F10" s="98">
        <v>10000</v>
      </c>
      <c r="G10" s="98">
        <f>IF(Septiembre[[#This Row],[COTIZACION]]="", "", Septiembre[[#This Row],[ARS]]/Septiembre[[#This Row],[COTIZACION]])</f>
        <v>7.3529411764705879</v>
      </c>
      <c r="H10" s="98">
        <v>1360</v>
      </c>
      <c r="I10"/>
      <c r="K10" s="2"/>
    </row>
    <row r="11" spans="2:11" ht="15.75" customHeight="1" x14ac:dyDescent="0.35">
      <c r="B11" s="9" t="s">
        <v>85</v>
      </c>
      <c r="C11" s="9" t="s">
        <v>162</v>
      </c>
      <c r="D11" s="1">
        <v>45939</v>
      </c>
      <c r="E11" s="9" t="s">
        <v>182</v>
      </c>
      <c r="F11" s="10">
        <v>1310000</v>
      </c>
      <c r="G11" s="10">
        <v>1000</v>
      </c>
      <c r="H11" s="10">
        <v>1310</v>
      </c>
      <c r="I11"/>
      <c r="K11" s="2"/>
    </row>
    <row r="12" spans="2:11" ht="15.75" customHeight="1" x14ac:dyDescent="0.35">
      <c r="B12" s="9" t="s">
        <v>0</v>
      </c>
      <c r="C12" s="9" t="s">
        <v>88</v>
      </c>
      <c r="D12" s="1" t="s">
        <v>231</v>
      </c>
      <c r="E12" s="9" t="s">
        <v>214</v>
      </c>
      <c r="F12" s="10">
        <v>387600</v>
      </c>
      <c r="G12" s="64">
        <f>IF(Septiembre[[#This Row],[COTIZACION]]="", "", Septiembre[[#This Row],[ARS]]/Septiembre[[#This Row],[COTIZACION]])</f>
        <v>285</v>
      </c>
      <c r="H12" s="64">
        <v>1360</v>
      </c>
    </row>
    <row r="13" spans="2:11" ht="15.75" customHeight="1" x14ac:dyDescent="0.35">
      <c r="B13" s="9" t="s">
        <v>8</v>
      </c>
      <c r="C13" s="9" t="s">
        <v>106</v>
      </c>
      <c r="D13" s="1">
        <v>45666</v>
      </c>
      <c r="E13" s="9" t="s">
        <v>227</v>
      </c>
      <c r="F13" s="10">
        <v>222700</v>
      </c>
      <c r="G13" s="10">
        <v>170</v>
      </c>
      <c r="H13" s="10">
        <v>1310</v>
      </c>
    </row>
    <row r="14" spans="2:11" ht="15.75" customHeight="1" x14ac:dyDescent="0.35">
      <c r="B14" s="96" t="s">
        <v>11</v>
      </c>
      <c r="C14" s="96" t="s">
        <v>74</v>
      </c>
      <c r="D14" s="97">
        <v>45847</v>
      </c>
      <c r="E14" s="96">
        <v>200</v>
      </c>
      <c r="F14" s="98">
        <v>4750000</v>
      </c>
      <c r="G14" s="98">
        <f>IF(Septiembre[[#This Row],[COTIZACION]]="", "", Septiembre[[#This Row],[ARS]]/Septiembre[[#This Row],[COTIZACION]])</f>
        <v>3625.9541984732823</v>
      </c>
      <c r="H14" s="98">
        <v>1310</v>
      </c>
    </row>
    <row r="15" spans="2:11" ht="15.5" x14ac:dyDescent="0.35">
      <c r="B15" s="9" t="s">
        <v>8</v>
      </c>
      <c r="C15" s="9" t="s">
        <v>41</v>
      </c>
      <c r="D15" s="97">
        <v>45847</v>
      </c>
      <c r="E15" s="9" t="s">
        <v>229</v>
      </c>
      <c r="F15" s="10">
        <v>145000</v>
      </c>
      <c r="G15" s="10">
        <f>IF(Septiembre[[#This Row],[COTIZACION]]="", "", Septiembre[[#This Row],[ARS]]/Septiembre[[#This Row],[COTIZACION]])</f>
        <v>110.68702290076335</v>
      </c>
      <c r="H15" s="98">
        <v>1310</v>
      </c>
      <c r="I15"/>
      <c r="K15" s="2"/>
    </row>
    <row r="16" spans="2:11" ht="15.5" x14ac:dyDescent="0.35">
      <c r="B16" s="9" t="s">
        <v>14</v>
      </c>
      <c r="C16" s="9" t="s">
        <v>33</v>
      </c>
      <c r="D16" s="97">
        <v>45847</v>
      </c>
      <c r="E16" s="9" t="s">
        <v>230</v>
      </c>
      <c r="F16" s="10">
        <v>100000</v>
      </c>
      <c r="G16" s="64">
        <f>IF(Septiembre[[#This Row],[COTIZACION]]="", "", Septiembre[[#This Row],[ARS]]/Septiembre[[#This Row],[COTIZACION]])</f>
        <v>76.335877862595424</v>
      </c>
      <c r="H16" s="64">
        <v>1310</v>
      </c>
    </row>
    <row r="17" spans="2:8" ht="15.5" x14ac:dyDescent="0.35">
      <c r="B17" s="9"/>
      <c r="C17" s="9"/>
      <c r="D17" s="9"/>
      <c r="E17" s="9"/>
      <c r="F17" s="10"/>
      <c r="G17" s="64"/>
      <c r="H17" s="64"/>
    </row>
    <row r="18" spans="2:8" ht="15.5" x14ac:dyDescent="0.35">
      <c r="B18" s="9"/>
      <c r="C18" s="9"/>
      <c r="D18" s="1"/>
      <c r="E18" s="9"/>
      <c r="F18" s="10"/>
      <c r="G18" s="64" t="str">
        <f>IF(Septiembre[[#This Row],[COTIZACION]]="", "", Septiembre[[#This Row],[ARS]]/Septiembre[[#This Row],[COTIZACION]])</f>
        <v/>
      </c>
      <c r="H18" s="64"/>
    </row>
    <row r="19" spans="2:8" ht="15.5" x14ac:dyDescent="0.35">
      <c r="B19" s="96"/>
      <c r="C19" s="96"/>
      <c r="D19" s="100"/>
      <c r="E19" s="9"/>
      <c r="F19" s="10"/>
      <c r="G19" s="64" t="str">
        <f>IF(Septiembre[[#This Row],[COTIZACION]]="", "", Septiembre[[#This Row],[ARS]]/Septiembre[[#This Row],[COTIZACION]])</f>
        <v/>
      </c>
      <c r="H19" s="64"/>
    </row>
    <row r="20" spans="2:8" ht="15.5" x14ac:dyDescent="0.35">
      <c r="B20" s="9"/>
      <c r="C20" s="9"/>
      <c r="D20" s="1"/>
      <c r="E20" s="9"/>
      <c r="F20" s="10"/>
      <c r="G20" s="64" t="str">
        <f>IF(Septiembre[[#This Row],[COTIZACION]]="", "", Septiembre[[#This Row],[ARS]]/Septiembre[[#This Row],[COTIZACION]])</f>
        <v/>
      </c>
      <c r="H20" s="64"/>
    </row>
    <row r="21" spans="2:8" ht="15.5" x14ac:dyDescent="0.35">
      <c r="B21" s="9"/>
      <c r="C21" s="9"/>
      <c r="D21" s="1"/>
      <c r="E21" s="9"/>
      <c r="F21" s="10"/>
      <c r="G21" s="64" t="str">
        <f>IF(Septiembre[[#This Row],[COTIZACION]]="", "", Septiembre[[#This Row],[ARS]]/Septiembre[[#This Row],[COTIZACION]])</f>
        <v/>
      </c>
      <c r="H21" s="64"/>
    </row>
    <row r="22" spans="2:8" ht="15.5" x14ac:dyDescent="0.35">
      <c r="B22" s="9"/>
      <c r="C22" s="9"/>
      <c r="D22" s="1"/>
      <c r="E22" s="9"/>
      <c r="F22" s="10"/>
      <c r="G22" s="64" t="str">
        <f>IF(Septiembre[[#This Row],[COTIZACION]]="", "", Septiembre[[#This Row],[ARS]]/Septiembre[[#This Row],[COTIZACION]])</f>
        <v/>
      </c>
      <c r="H22" s="64"/>
    </row>
    <row r="23" spans="2:8" ht="15.5" x14ac:dyDescent="0.35">
      <c r="B23" s="9"/>
      <c r="C23" s="9"/>
      <c r="D23" s="1"/>
      <c r="E23" s="9"/>
      <c r="F23" s="10"/>
      <c r="G23" s="64" t="str">
        <f>IF(Septiembre[[#This Row],[COTIZACION]]="", "", Septiembre[[#This Row],[ARS]]/Septiembre[[#This Row],[COTIZACION]])</f>
        <v/>
      </c>
      <c r="H23" s="64"/>
    </row>
    <row r="24" spans="2:8" ht="15.5" x14ac:dyDescent="0.35">
      <c r="B24" s="9"/>
      <c r="C24" s="9"/>
      <c r="D24" s="1"/>
      <c r="E24" s="9"/>
      <c r="F24" s="10"/>
      <c r="G24" s="64" t="str">
        <f>IF(Septiembre[[#This Row],[COTIZACION]]="", "", Septiembre[[#This Row],[ARS]]/Septiembre[[#This Row],[COTIZACION]])</f>
        <v/>
      </c>
      <c r="H24" s="64"/>
    </row>
    <row r="25" spans="2:8" ht="15.5" x14ac:dyDescent="0.35">
      <c r="B25" s="9"/>
      <c r="C25" s="9"/>
      <c r="D25" s="1"/>
      <c r="E25" s="9"/>
      <c r="F25" s="10"/>
      <c r="G25" s="64" t="str">
        <f>IF(Septiembre[[#This Row],[COTIZACION]]="", "", Septiembre[[#This Row],[ARS]]/Septiembre[[#This Row],[COTIZACION]])</f>
        <v/>
      </c>
      <c r="H25" s="64"/>
    </row>
    <row r="26" spans="2:8" ht="15.5" x14ac:dyDescent="0.35">
      <c r="B26" s="9"/>
      <c r="C26" s="9"/>
      <c r="D26" s="1"/>
      <c r="E26" s="9"/>
      <c r="F26" s="10"/>
      <c r="G26" s="64" t="str">
        <f>IF(Septiembre[[#This Row],[COTIZACION]]="", "", Septiembre[[#This Row],[ARS]]/Septiembre[[#This Row],[COTIZACION]])</f>
        <v/>
      </c>
      <c r="H26" s="64"/>
    </row>
    <row r="27" spans="2:8" ht="15.5" x14ac:dyDescent="0.35">
      <c r="B27" s="9"/>
      <c r="C27" s="9"/>
      <c r="D27" s="1"/>
      <c r="E27" s="9"/>
      <c r="F27" s="10"/>
      <c r="G27" s="64" t="str">
        <f>IF(Septiembre[[#This Row],[COTIZACION]]="", "", Septiembre[[#This Row],[ARS]]/Septiembre[[#This Row],[COTIZACION]])</f>
        <v/>
      </c>
      <c r="H27" s="64"/>
    </row>
    <row r="28" spans="2:8" ht="15.5" x14ac:dyDescent="0.35">
      <c r="B28" s="9"/>
      <c r="C28" s="9"/>
      <c r="D28" s="1"/>
      <c r="E28" s="9"/>
      <c r="F28" s="10"/>
      <c r="G28" s="64" t="str">
        <f>IF(Septiembre[[#This Row],[COTIZACION]]="", "", Septiembre[[#This Row],[ARS]]/Septiembre[[#This Row],[COTIZACION]])</f>
        <v/>
      </c>
      <c r="H28" s="64"/>
    </row>
    <row r="29" spans="2:8" ht="15.5" x14ac:dyDescent="0.35">
      <c r="B29" s="9"/>
      <c r="C29" s="9"/>
      <c r="D29" s="1"/>
      <c r="E29" s="9"/>
      <c r="F29" s="10"/>
      <c r="G29" s="64" t="str">
        <f>IF(Septiembre[[#This Row],[COTIZACION]]="", "", Septiembre[[#This Row],[ARS]]/Septiembre[[#This Row],[COTIZACION]])</f>
        <v/>
      </c>
      <c r="H29" s="64"/>
    </row>
    <row r="30" spans="2:8" ht="15.5" x14ac:dyDescent="0.35">
      <c r="B30" s="9"/>
      <c r="C30" s="9"/>
      <c r="D30" s="1"/>
      <c r="E30" s="9"/>
      <c r="F30" s="10"/>
      <c r="G30" s="64" t="str">
        <f>IF(Septiembre[[#This Row],[COTIZACION]]="", "", Septiembre[[#This Row],[ARS]]/Septiembre[[#This Row],[COTIZACION]])</f>
        <v/>
      </c>
      <c r="H30" s="64"/>
    </row>
    <row r="31" spans="2:8" ht="15.5" x14ac:dyDescent="0.35">
      <c r="B31" s="9"/>
      <c r="C31" s="9"/>
      <c r="D31" s="1"/>
      <c r="E31" s="9"/>
      <c r="F31" s="10"/>
      <c r="G31" s="64" t="str">
        <f>IF(Septiembre[[#This Row],[COTIZACION]]="", "", Septiembre[[#This Row],[ARS]]/Septiembre[[#This Row],[COTIZACION]])</f>
        <v/>
      </c>
      <c r="H31" s="64"/>
    </row>
    <row r="32" spans="2:8" ht="15.5" x14ac:dyDescent="0.35">
      <c r="B32" s="9"/>
      <c r="C32" s="9"/>
      <c r="D32" s="1"/>
      <c r="E32" s="9"/>
      <c r="F32" s="10"/>
      <c r="G32" s="64" t="str">
        <f>IF(Septiembre[[#This Row],[COTIZACION]]="", "", Septiembre[[#This Row],[ARS]]/Septiembre[[#This Row],[COTIZACION]])</f>
        <v/>
      </c>
      <c r="H32" s="64"/>
    </row>
    <row r="33" spans="2:8" ht="15.5" x14ac:dyDescent="0.35">
      <c r="B33" s="9"/>
      <c r="C33" s="9"/>
      <c r="D33" s="1"/>
      <c r="E33" s="9"/>
      <c r="F33" s="10"/>
      <c r="G33" s="64" t="str">
        <f>IF(Septiembre[[#This Row],[COTIZACION]]="", "", Septiembre[[#This Row],[ARS]]/Septiembre[[#This Row],[COTIZACION]])</f>
        <v/>
      </c>
      <c r="H33" s="64"/>
    </row>
    <row r="34" spans="2:8" ht="15.5" x14ac:dyDescent="0.35">
      <c r="B34" s="9"/>
      <c r="C34" s="9"/>
      <c r="D34" s="1"/>
      <c r="E34" s="9"/>
      <c r="F34" s="10"/>
      <c r="G34" s="64" t="str">
        <f>IF(Septiembre[[#This Row],[COTIZACION]]="", "", Septiembre[[#This Row],[ARS]]/Septiembre[[#This Row],[COTIZACION]])</f>
        <v/>
      </c>
      <c r="H34" s="64"/>
    </row>
    <row r="35" spans="2:8" ht="15.5" x14ac:dyDescent="0.35">
      <c r="B35" s="9"/>
      <c r="C35" s="9"/>
      <c r="D35" s="1"/>
      <c r="E35" s="9"/>
      <c r="F35" s="10"/>
      <c r="G35" s="64" t="str">
        <f>IF(Septiembre[[#This Row],[COTIZACION]]="", "", Septiembre[[#This Row],[ARS]]/Septiembre[[#This Row],[COTIZACION]])</f>
        <v/>
      </c>
      <c r="H35" s="64"/>
    </row>
    <row r="36" spans="2:8" ht="15.5" x14ac:dyDescent="0.35">
      <c r="B36" s="9"/>
      <c r="C36" s="9"/>
      <c r="D36" s="1"/>
      <c r="E36" s="9"/>
      <c r="F36" s="10"/>
      <c r="G36" s="64" t="str">
        <f>IF(Septiembre[[#This Row],[COTIZACION]]="", "", Septiembre[[#This Row],[ARS]]/Septiembre[[#This Row],[COTIZACION]])</f>
        <v/>
      </c>
      <c r="H36" s="64"/>
    </row>
    <row r="37" spans="2:8" ht="15.5" x14ac:dyDescent="0.35">
      <c r="B37" s="9"/>
      <c r="C37" s="9"/>
      <c r="D37" s="1"/>
      <c r="E37" s="9"/>
      <c r="F37" s="10"/>
      <c r="G37" s="64" t="str">
        <f>IF(Septiembre[[#This Row],[COTIZACION]]="", "", Septiembre[[#This Row],[ARS]]/Septiembre[[#This Row],[COTIZACION]])</f>
        <v/>
      </c>
      <c r="H37" s="64"/>
    </row>
    <row r="38" spans="2:8" ht="15.5" x14ac:dyDescent="0.35">
      <c r="B38" s="9"/>
      <c r="C38" s="9"/>
      <c r="D38" s="1"/>
      <c r="E38" s="9"/>
      <c r="F38" s="10"/>
      <c r="G38" s="64" t="str">
        <f>IF(Septiembre[[#This Row],[COTIZACION]]="", "", Septiembre[[#This Row],[ARS]]/Septiembre[[#This Row],[COTIZACION]])</f>
        <v/>
      </c>
      <c r="H38" s="64"/>
    </row>
    <row r="39" spans="2:8" ht="15.5" x14ac:dyDescent="0.35">
      <c r="B39" s="9"/>
      <c r="C39" s="9"/>
      <c r="D39" s="1"/>
      <c r="E39" s="9"/>
      <c r="F39" s="10"/>
      <c r="G39" s="64" t="str">
        <f>IF(Septiembre[[#This Row],[COTIZACION]]="", "", Septiembre[[#This Row],[ARS]]/Septiembre[[#This Row],[COTIZACION]])</f>
        <v/>
      </c>
      <c r="H39" s="64"/>
    </row>
    <row r="40" spans="2:8" ht="15.5" x14ac:dyDescent="0.35">
      <c r="B40" s="9"/>
      <c r="C40" s="9"/>
      <c r="D40" s="1"/>
      <c r="E40" s="9"/>
      <c r="F40" s="10"/>
      <c r="G40" s="64" t="str">
        <f>IF(Septiembre[[#This Row],[COTIZACION]]="", "", Septiembre[[#This Row],[ARS]]/Septiembre[[#This Row],[COTIZACION]])</f>
        <v/>
      </c>
      <c r="H40" s="64"/>
    </row>
    <row r="41" spans="2:8" ht="15.5" x14ac:dyDescent="0.35">
      <c r="B41" s="9"/>
      <c r="C41" s="9"/>
      <c r="D41" s="1"/>
      <c r="E41" s="9"/>
      <c r="F41" s="10"/>
      <c r="G41" s="64" t="str">
        <f>IF(Septiembre[[#This Row],[COTIZACION]]="", "", Septiembre[[#This Row],[ARS]]/Septiembre[[#This Row],[COTIZACION]])</f>
        <v/>
      </c>
      <c r="H41" s="64"/>
    </row>
    <row r="42" spans="2:8" ht="15.5" x14ac:dyDescent="0.35">
      <c r="B42" s="9"/>
      <c r="C42" s="9"/>
      <c r="D42" s="1"/>
      <c r="E42" s="9"/>
      <c r="F42" s="10"/>
      <c r="G42" s="64" t="str">
        <f>IF(Septiembre[[#This Row],[COTIZACION]]="", "", Septiembre[[#This Row],[ARS]]/Septiembre[[#This Row],[COTIZACION]])</f>
        <v/>
      </c>
      <c r="H42" s="64"/>
    </row>
    <row r="43" spans="2:8" ht="15.5" x14ac:dyDescent="0.35">
      <c r="B43" s="9"/>
      <c r="C43" s="9"/>
      <c r="D43" s="1"/>
      <c r="E43" s="9"/>
      <c r="F43" s="10"/>
      <c r="G43" s="64" t="str">
        <f>IF(Septiembre[[#This Row],[COTIZACION]]="", "", Septiembre[[#This Row],[ARS]]/Septiembre[[#This Row],[COTIZACION]])</f>
        <v/>
      </c>
      <c r="H43" s="64"/>
    </row>
    <row r="44" spans="2:8" ht="15.5" x14ac:dyDescent="0.35">
      <c r="B44" s="9"/>
      <c r="C44" s="9"/>
      <c r="D44" s="1"/>
      <c r="E44" s="9"/>
      <c r="F44" s="10"/>
      <c r="G44" s="64" t="str">
        <f>IF(Septiembre[[#This Row],[COTIZACION]]="", "", Septiembre[[#This Row],[ARS]]/Septiembre[[#This Row],[COTIZACION]])</f>
        <v/>
      </c>
      <c r="H44" s="64"/>
    </row>
    <row r="45" spans="2:8" ht="15.5" x14ac:dyDescent="0.35">
      <c r="B45" s="9"/>
      <c r="C45" s="9"/>
      <c r="D45" s="1"/>
      <c r="E45" s="9"/>
      <c r="F45" s="10"/>
      <c r="G45" s="64" t="str">
        <f>IF(Septiembre[[#This Row],[COTIZACION]]="", "", Septiembre[[#This Row],[ARS]]/Septiembre[[#This Row],[COTIZACION]])</f>
        <v/>
      </c>
      <c r="H45" s="64"/>
    </row>
    <row r="46" spans="2:8" ht="15.5" x14ac:dyDescent="0.35">
      <c r="B46" s="9"/>
      <c r="C46" s="9"/>
      <c r="D46" s="1"/>
      <c r="E46" s="9"/>
      <c r="F46" s="10"/>
      <c r="G46" s="64" t="str">
        <f>IF(Septiembre[[#This Row],[COTIZACION]]="", "", Septiembre[[#This Row],[ARS]]/Septiembre[[#This Row],[COTIZACION]])</f>
        <v/>
      </c>
      <c r="H46" s="64"/>
    </row>
    <row r="47" spans="2:8" ht="15.5" x14ac:dyDescent="0.35">
      <c r="B47" s="9"/>
      <c r="C47" s="9"/>
      <c r="D47" s="1"/>
      <c r="E47" s="9"/>
      <c r="F47" s="10"/>
      <c r="G47" s="64" t="str">
        <f>IF(Septiembre[[#This Row],[COTIZACION]]="", "", Septiembre[[#This Row],[ARS]]/Septiembre[[#This Row],[COTIZACION]])</f>
        <v/>
      </c>
      <c r="H47" s="64"/>
    </row>
    <row r="48" spans="2:8" ht="15.5" x14ac:dyDescent="0.35">
      <c r="B48" s="9"/>
      <c r="C48" s="9"/>
      <c r="D48" s="1"/>
      <c r="E48" s="9"/>
      <c r="F48" s="10"/>
      <c r="G48" s="64" t="str">
        <f>IF(Septiembre[[#This Row],[COTIZACION]]="", "", Septiembre[[#This Row],[ARS]]/Septiembre[[#This Row],[COTIZACION]])</f>
        <v/>
      </c>
      <c r="H48" s="64"/>
    </row>
    <row r="49" spans="2:8" ht="15.5" x14ac:dyDescent="0.35">
      <c r="B49" s="9"/>
      <c r="C49" s="9"/>
      <c r="D49" s="1"/>
      <c r="E49" s="9"/>
      <c r="F49" s="10"/>
      <c r="G49" s="64" t="str">
        <f>IF(Septiembre[[#This Row],[COTIZACION]]="", "", Septiembre[[#This Row],[ARS]]/Septiembre[[#This Row],[COTIZACION]])</f>
        <v/>
      </c>
      <c r="H49" s="64"/>
    </row>
    <row r="50" spans="2:8" ht="15.5" x14ac:dyDescent="0.35">
      <c r="B50" s="9"/>
      <c r="C50" s="9"/>
      <c r="D50" s="1"/>
      <c r="E50" s="9"/>
      <c r="F50" s="10"/>
      <c r="G50" s="64" t="str">
        <f>IF(Septiembre[[#This Row],[COTIZACION]]="", "", Septiembre[[#This Row],[ARS]]/Septiembre[[#This Row],[COTIZACION]])</f>
        <v/>
      </c>
      <c r="H50" s="64"/>
    </row>
    <row r="51" spans="2:8" ht="15.5" x14ac:dyDescent="0.35">
      <c r="B51" s="9"/>
      <c r="C51" s="9"/>
      <c r="D51" s="1"/>
      <c r="E51" s="9"/>
      <c r="F51" s="10"/>
      <c r="G51" s="64" t="str">
        <f>IF(Septiembre[[#This Row],[COTIZACION]]="", "", Septiembre[[#This Row],[ARS]]/Septiembre[[#This Row],[COTIZACION]])</f>
        <v/>
      </c>
      <c r="H51" s="64"/>
    </row>
    <row r="52" spans="2:8" ht="15.5" x14ac:dyDescent="0.35">
      <c r="B52" s="9"/>
      <c r="C52" s="9"/>
      <c r="D52" s="1"/>
      <c r="E52" s="9"/>
      <c r="F52" s="10"/>
      <c r="G52" s="64" t="str">
        <f>IF(Septiembre[[#This Row],[COTIZACION]]="", "", Septiembre[[#This Row],[ARS]]/Septiembre[[#This Row],[COTIZACION]])</f>
        <v/>
      </c>
      <c r="H52" s="64"/>
    </row>
    <row r="53" spans="2:8" ht="15.5" x14ac:dyDescent="0.35">
      <c r="B53" s="9"/>
      <c r="C53" s="9"/>
      <c r="D53" s="1"/>
      <c r="E53" s="9"/>
      <c r="F53" s="10"/>
      <c r="G53" s="64" t="str">
        <f>IF(Septiembre[[#This Row],[COTIZACION]]="", "", Septiembre[[#This Row],[ARS]]/Septiembre[[#This Row],[COTIZACION]])</f>
        <v/>
      </c>
      <c r="H53" s="64"/>
    </row>
    <row r="54" spans="2:8" ht="15.5" x14ac:dyDescent="0.35">
      <c r="B54" s="9"/>
      <c r="C54" s="9"/>
      <c r="D54" s="1"/>
      <c r="E54" s="9"/>
      <c r="F54" s="10"/>
      <c r="G54" s="64" t="str">
        <f>IF(Septiembre[[#This Row],[COTIZACION]]="", "", Septiembre[[#This Row],[ARS]]/Septiembre[[#This Row],[COTIZACION]])</f>
        <v/>
      </c>
      <c r="H54" s="64"/>
    </row>
    <row r="55" spans="2:8" ht="15.5" x14ac:dyDescent="0.35">
      <c r="B55" s="9"/>
      <c r="C55" s="9"/>
      <c r="D55" s="1"/>
      <c r="E55" s="9"/>
      <c r="F55" s="10"/>
      <c r="G55" s="64" t="str">
        <f>IF(Septiembre[[#This Row],[COTIZACION]]="", "", Septiembre[[#This Row],[ARS]]/Septiembre[[#This Row],[COTIZACION]])</f>
        <v/>
      </c>
      <c r="H55" s="64"/>
    </row>
    <row r="56" spans="2:8" ht="15.5" x14ac:dyDescent="0.35">
      <c r="B56" s="9"/>
      <c r="C56" s="9"/>
      <c r="D56" s="1"/>
      <c r="E56" s="9"/>
      <c r="F56" s="10"/>
      <c r="G56" s="64" t="str">
        <f>IF(Septiembre[[#This Row],[COTIZACION]]="", "", Septiembre[[#This Row],[ARS]]/Septiembre[[#This Row],[COTIZACION]])</f>
        <v/>
      </c>
      <c r="H56" s="64"/>
    </row>
    <row r="57" spans="2:8" ht="15.5" x14ac:dyDescent="0.35">
      <c r="B57" s="9"/>
      <c r="C57" s="9"/>
      <c r="D57" s="1"/>
      <c r="E57" s="9"/>
      <c r="F57" s="10"/>
      <c r="G57" s="64" t="str">
        <f>IF(Septiembre[[#This Row],[COTIZACION]]="", "", Septiembre[[#This Row],[ARS]]/Septiembre[[#This Row],[COTIZACION]])</f>
        <v/>
      </c>
      <c r="H57" s="64"/>
    </row>
    <row r="58" spans="2:8" ht="15.5" x14ac:dyDescent="0.35">
      <c r="B58" s="9"/>
      <c r="C58" s="9"/>
      <c r="D58" s="1"/>
      <c r="E58" s="9"/>
      <c r="F58" s="10"/>
      <c r="G58" s="64" t="str">
        <f>IF(Septiembre[[#This Row],[COTIZACION]]="", "", Septiembre[[#This Row],[ARS]]/Septiembre[[#This Row],[COTIZACION]])</f>
        <v/>
      </c>
      <c r="H58" s="64"/>
    </row>
    <row r="59" spans="2:8" ht="15.5" x14ac:dyDescent="0.35">
      <c r="B59" s="9"/>
      <c r="C59" s="9"/>
      <c r="D59" s="1"/>
      <c r="E59" s="9"/>
      <c r="F59" s="10"/>
      <c r="G59" s="64" t="str">
        <f>IF(Septiembre[[#This Row],[COTIZACION]]="", "", Septiembre[[#This Row],[ARS]]/Septiembre[[#This Row],[COTIZACION]])</f>
        <v/>
      </c>
      <c r="H59" s="64"/>
    </row>
    <row r="60" spans="2:8" ht="15.5" x14ac:dyDescent="0.35">
      <c r="B60" s="9"/>
      <c r="C60" s="9"/>
      <c r="D60" s="1"/>
      <c r="E60" s="9"/>
      <c r="F60" s="10"/>
      <c r="G60" s="64" t="str">
        <f>IF(Septiembre[[#This Row],[COTIZACION]]="", "", Septiembre[[#This Row],[ARS]]/Septiembre[[#This Row],[COTIZACION]])</f>
        <v/>
      </c>
      <c r="H60" s="64"/>
    </row>
    <row r="61" spans="2:8" ht="15.5" x14ac:dyDescent="0.35">
      <c r="B61" s="9"/>
      <c r="C61" s="9"/>
      <c r="D61" s="1"/>
      <c r="E61" s="9"/>
      <c r="F61" s="10"/>
      <c r="G61" s="64" t="str">
        <f>IF(Septiembre[[#This Row],[COTIZACION]]="", "", Septiembre[[#This Row],[ARS]]/Septiembre[[#This Row],[COTIZACION]])</f>
        <v/>
      </c>
      <c r="H61" s="64"/>
    </row>
    <row r="62" spans="2:8" ht="15.5" x14ac:dyDescent="0.35">
      <c r="B62" s="9"/>
      <c r="C62" s="9"/>
      <c r="D62" s="1"/>
      <c r="E62" s="9"/>
      <c r="F62" s="10"/>
      <c r="G62" s="64" t="str">
        <f>IF(Septiembre[[#This Row],[COTIZACION]]="", "", Septiembre[[#This Row],[ARS]]/Septiembre[[#This Row],[COTIZACION]])</f>
        <v/>
      </c>
      <c r="H62" s="64"/>
    </row>
    <row r="63" spans="2:8" ht="15.5" x14ac:dyDescent="0.35">
      <c r="B63" s="9"/>
      <c r="C63" s="9"/>
      <c r="D63" s="1"/>
      <c r="E63" s="9"/>
      <c r="F63" s="10"/>
      <c r="G63" s="64" t="str">
        <f>IF(Septiembre[[#This Row],[COTIZACION]]="", "", Septiembre[[#This Row],[ARS]]/Septiembre[[#This Row],[COTIZACION]])</f>
        <v/>
      </c>
      <c r="H63" s="64"/>
    </row>
    <row r="64" spans="2:8" ht="15.5" x14ac:dyDescent="0.35">
      <c r="B64" s="9"/>
      <c r="C64" s="9"/>
      <c r="D64" s="1"/>
      <c r="E64" s="9"/>
      <c r="F64" s="10"/>
      <c r="G64" s="64" t="str">
        <f>IF(Septiembre[[#This Row],[COTIZACION]]="", "", Septiembre[[#This Row],[ARS]]/Septiembre[[#This Row],[COTIZACION]])</f>
        <v/>
      </c>
      <c r="H64" s="64"/>
    </row>
    <row r="65" spans="2:8" ht="15.5" x14ac:dyDescent="0.35">
      <c r="B65" s="9"/>
      <c r="C65" s="9"/>
      <c r="D65" s="1"/>
      <c r="E65" s="9"/>
      <c r="F65" s="10"/>
      <c r="G65" s="64" t="str">
        <f>IF(Septiembre[[#This Row],[COTIZACION]]="", "", Septiembre[[#This Row],[ARS]]/Septiembre[[#This Row],[COTIZACION]])</f>
        <v/>
      </c>
      <c r="H65" s="64"/>
    </row>
    <row r="66" spans="2:8" ht="15.5" x14ac:dyDescent="0.35">
      <c r="B66" s="9"/>
      <c r="C66" s="9"/>
      <c r="D66" s="1"/>
      <c r="E66" s="9"/>
      <c r="F66" s="10"/>
      <c r="G66" s="64" t="str">
        <f>IF(Septiembre[[#This Row],[COTIZACION]]="", "", Septiembre[[#This Row],[ARS]]/Septiembre[[#This Row],[COTIZACION]])</f>
        <v/>
      </c>
      <c r="H66" s="64"/>
    </row>
    <row r="67" spans="2:8" ht="15.5" x14ac:dyDescent="0.35">
      <c r="B67" s="9"/>
      <c r="C67" s="9"/>
      <c r="D67" s="1"/>
      <c r="E67" s="9"/>
      <c r="F67" s="10"/>
      <c r="G67" s="64" t="str">
        <f>IF(Septiembre[[#This Row],[COTIZACION]]="", "", Septiembre[[#This Row],[ARS]]/Septiembre[[#This Row],[COTIZACION]])</f>
        <v/>
      </c>
      <c r="H67" s="64"/>
    </row>
    <row r="68" spans="2:8" ht="15.5" x14ac:dyDescent="0.35">
      <c r="B68" s="9"/>
      <c r="C68" s="9"/>
      <c r="D68" s="1"/>
      <c r="E68" s="9"/>
      <c r="F68" s="10"/>
      <c r="G68" s="64" t="str">
        <f>IF(Septiembre[[#This Row],[COTIZACION]]="", "", Septiembre[[#This Row],[ARS]]/Septiembre[[#This Row],[COTIZACION]])</f>
        <v/>
      </c>
      <c r="H68" s="64"/>
    </row>
    <row r="69" spans="2:8" ht="15.5" x14ac:dyDescent="0.35">
      <c r="B69" s="9"/>
      <c r="C69" s="9"/>
      <c r="D69" s="1"/>
      <c r="E69" s="9"/>
      <c r="F69" s="10"/>
      <c r="G69" s="64" t="str">
        <f>IF(Septiembre[[#This Row],[COTIZACION]]="", "", Septiembre[[#This Row],[ARS]]/Septiembre[[#This Row],[COTIZACION]])</f>
        <v/>
      </c>
      <c r="H69" s="64"/>
    </row>
    <row r="70" spans="2:8" ht="15.5" x14ac:dyDescent="0.35">
      <c r="B70" s="9"/>
      <c r="C70" s="9"/>
      <c r="D70" s="1"/>
      <c r="E70" s="9"/>
      <c r="F70" s="10"/>
      <c r="G70" s="64" t="str">
        <f>IF(Septiembre[[#This Row],[COTIZACION]]="", "", Septiembre[[#This Row],[ARS]]/Septiembre[[#This Row],[COTIZACION]])</f>
        <v/>
      </c>
      <c r="H70" s="64"/>
    </row>
    <row r="71" spans="2:8" ht="15.5" x14ac:dyDescent="0.35">
      <c r="B71" s="9"/>
      <c r="C71" s="9"/>
      <c r="D71" s="1"/>
      <c r="E71" s="9"/>
      <c r="F71" s="10"/>
      <c r="G71" s="64" t="str">
        <f>IF(Septiembre[[#This Row],[COTIZACION]]="", "", Septiembre[[#This Row],[ARS]]/Septiembre[[#This Row],[COTIZACION]])</f>
        <v/>
      </c>
      <c r="H71" s="64"/>
    </row>
    <row r="72" spans="2:8" ht="15.5" x14ac:dyDescent="0.35">
      <c r="B72" s="9"/>
      <c r="C72" s="9"/>
      <c r="D72" s="1"/>
      <c r="E72" s="9"/>
      <c r="F72" s="10"/>
      <c r="G72" s="64" t="str">
        <f>IF(Septiembre[[#This Row],[COTIZACION]]="", "", Septiembre[[#This Row],[ARS]]/Septiembre[[#This Row],[COTIZACION]])</f>
        <v/>
      </c>
      <c r="H72" s="64"/>
    </row>
    <row r="73" spans="2:8" ht="15.5" x14ac:dyDescent="0.35">
      <c r="B73" s="9"/>
      <c r="C73" s="9"/>
      <c r="D73" s="1"/>
      <c r="E73" s="9"/>
      <c r="F73" s="10"/>
      <c r="G73" s="64" t="str">
        <f>IF(Septiembre[[#This Row],[COTIZACION]]="", "", Septiembre[[#This Row],[ARS]]/Septiembre[[#This Row],[COTIZACION]])</f>
        <v/>
      </c>
      <c r="H73" s="64"/>
    </row>
    <row r="74" spans="2:8" ht="15.5" x14ac:dyDescent="0.35">
      <c r="B74" s="9"/>
      <c r="C74" s="9"/>
      <c r="D74" s="1"/>
      <c r="E74" s="9"/>
      <c r="F74" s="10"/>
      <c r="G74" s="64" t="str">
        <f>IF(Septiembre[[#This Row],[COTIZACION]]="", "", Septiembre[[#This Row],[ARS]]/Septiembre[[#This Row],[COTIZACION]])</f>
        <v/>
      </c>
      <c r="H74" s="64"/>
    </row>
    <row r="75" spans="2:8" ht="15.5" x14ac:dyDescent="0.35">
      <c r="B75" s="9"/>
      <c r="C75" s="9"/>
      <c r="D75" s="1"/>
      <c r="E75" s="9"/>
      <c r="F75" s="10"/>
      <c r="G75" s="64" t="str">
        <f>IF(Septiembre[[#This Row],[COTIZACION]]="", "", Septiembre[[#This Row],[ARS]]/Septiembre[[#This Row],[COTIZACION]])</f>
        <v/>
      </c>
      <c r="H75" s="64"/>
    </row>
    <row r="76" spans="2:8" ht="15.5" x14ac:dyDescent="0.35">
      <c r="B76" s="9"/>
      <c r="C76" s="9"/>
      <c r="D76" s="1"/>
      <c r="E76" s="9"/>
      <c r="F76" s="10"/>
      <c r="G76" s="64" t="str">
        <f>IF(Septiembre[[#This Row],[COTIZACION]]="", "", Septiembre[[#This Row],[ARS]]/Septiembre[[#This Row],[COTIZACION]])</f>
        <v/>
      </c>
      <c r="H76" s="64"/>
    </row>
    <row r="77" spans="2:8" ht="15.5" x14ac:dyDescent="0.35">
      <c r="B77" s="9"/>
      <c r="C77" s="9"/>
      <c r="D77" s="1"/>
      <c r="E77" s="9"/>
      <c r="F77" s="10"/>
      <c r="G77" s="64" t="str">
        <f>IF(Septiembre[[#This Row],[COTIZACION]]="", "", Septiembre[[#This Row],[ARS]]/Septiembre[[#This Row],[COTIZACION]])</f>
        <v/>
      </c>
      <c r="H77" s="64"/>
    </row>
    <row r="78" spans="2:8" ht="15.5" x14ac:dyDescent="0.35">
      <c r="B78" s="9"/>
      <c r="C78" s="9"/>
      <c r="D78" s="1"/>
      <c r="E78" s="9"/>
      <c r="F78" s="10"/>
      <c r="G78" s="64" t="str">
        <f>IF(Septiembre[[#This Row],[COTIZACION]]="", "", Septiembre[[#This Row],[ARS]]/Septiembre[[#This Row],[COTIZACION]])</f>
        <v/>
      </c>
      <c r="H78" s="64"/>
    </row>
    <row r="79" spans="2:8" ht="15.5" x14ac:dyDescent="0.35">
      <c r="B79" s="9"/>
      <c r="C79" s="9"/>
      <c r="D79" s="1"/>
      <c r="E79" s="9"/>
      <c r="F79" s="10"/>
      <c r="G79" s="64" t="str">
        <f>IF(Septiembre[[#This Row],[COTIZACION]]="", "", Septiembre[[#This Row],[ARS]]/Septiembre[[#This Row],[COTIZACION]])</f>
        <v/>
      </c>
      <c r="H79" s="64"/>
    </row>
    <row r="80" spans="2:8" ht="15.5" x14ac:dyDescent="0.35">
      <c r="B80" s="9"/>
      <c r="C80" s="9"/>
      <c r="D80" s="1"/>
      <c r="E80" s="9"/>
      <c r="F80" s="10"/>
      <c r="G80" s="64" t="str">
        <f>IF(Septiembre[[#This Row],[COTIZACION]]="", "", Septiembre[[#This Row],[ARS]]/Septiembre[[#This Row],[COTIZACION]])</f>
        <v/>
      </c>
      <c r="H80" s="64"/>
    </row>
    <row r="81" spans="2:8" ht="15.5" x14ac:dyDescent="0.35">
      <c r="B81" s="9"/>
      <c r="C81" s="9"/>
      <c r="D81" s="1"/>
      <c r="E81" s="9"/>
      <c r="F81" s="10"/>
      <c r="G81" s="64" t="str">
        <f>IF(Septiembre[[#This Row],[COTIZACION]]="", "", Septiembre[[#This Row],[ARS]]/Septiembre[[#This Row],[COTIZACION]])</f>
        <v/>
      </c>
      <c r="H81" s="64"/>
    </row>
    <row r="82" spans="2:8" ht="15.5" x14ac:dyDescent="0.35">
      <c r="B82" s="9"/>
      <c r="C82" s="9"/>
      <c r="D82" s="1"/>
      <c r="E82" s="9"/>
      <c r="F82" s="10"/>
      <c r="G82" s="64" t="str">
        <f>IF(Septiembre[[#This Row],[COTIZACION]]="", "", Septiembre[[#This Row],[ARS]]/Septiembre[[#This Row],[COTIZACION]])</f>
        <v/>
      </c>
      <c r="H82" s="64"/>
    </row>
    <row r="83" spans="2:8" ht="15.5" x14ac:dyDescent="0.35">
      <c r="B83" s="9"/>
      <c r="C83" s="9"/>
      <c r="D83" s="1"/>
      <c r="E83" s="9"/>
      <c r="F83" s="10"/>
      <c r="G83" s="64" t="str">
        <f>IF(Septiembre[[#This Row],[COTIZACION]]="", "", Septiembre[[#This Row],[ARS]]/Septiembre[[#This Row],[COTIZACION]])</f>
        <v/>
      </c>
      <c r="H83" s="64"/>
    </row>
    <row r="84" spans="2:8" ht="15.5" x14ac:dyDescent="0.35">
      <c r="B84" s="9"/>
      <c r="C84" s="9"/>
      <c r="D84" s="1"/>
      <c r="E84" s="9"/>
      <c r="F84" s="10"/>
      <c r="G84" s="64" t="str">
        <f>IF(Septiembre[[#This Row],[COTIZACION]]="", "", Septiembre[[#This Row],[ARS]]/Septiembre[[#This Row],[COTIZACION]])</f>
        <v/>
      </c>
      <c r="H84" s="64"/>
    </row>
    <row r="85" spans="2:8" ht="15.5" x14ac:dyDescent="0.35">
      <c r="B85" s="9"/>
      <c r="C85" s="9"/>
      <c r="D85" s="1"/>
      <c r="E85" s="9"/>
      <c r="F85" s="10"/>
      <c r="G85" s="64" t="str">
        <f>IF(Septiembre[[#This Row],[COTIZACION]]="", "", Septiembre[[#This Row],[ARS]]/Septiembre[[#This Row],[COTIZACION]])</f>
        <v/>
      </c>
      <c r="H85" s="64"/>
    </row>
    <row r="86" spans="2:8" ht="15.5" x14ac:dyDescent="0.35">
      <c r="B86" s="9"/>
      <c r="C86" s="9"/>
      <c r="D86" s="1"/>
      <c r="E86" s="9"/>
      <c r="F86" s="10"/>
      <c r="G86" s="64" t="str">
        <f>IF(Septiembre[[#This Row],[COTIZACION]]="", "", Septiembre[[#This Row],[ARS]]/Septiembre[[#This Row],[COTIZACION]])</f>
        <v/>
      </c>
      <c r="H86" s="64"/>
    </row>
    <row r="87" spans="2:8" ht="15.5" x14ac:dyDescent="0.35">
      <c r="B87" s="9"/>
      <c r="C87" s="9"/>
      <c r="D87" s="1"/>
      <c r="E87" s="9"/>
      <c r="F87" s="10"/>
      <c r="G87" s="64" t="str">
        <f>IF(Septiembre[[#This Row],[COTIZACION]]="", "", Septiembre[[#This Row],[ARS]]/Septiembre[[#This Row],[COTIZACION]])</f>
        <v/>
      </c>
      <c r="H87" s="64"/>
    </row>
    <row r="88" spans="2:8" ht="15.5" x14ac:dyDescent="0.35">
      <c r="B88" s="9"/>
      <c r="C88" s="9"/>
      <c r="D88" s="1"/>
      <c r="E88" s="9"/>
      <c r="F88" s="10"/>
      <c r="G88" s="64" t="str">
        <f>IF(Septiembre[[#This Row],[COTIZACION]]="", "", Septiembre[[#This Row],[ARS]]/Septiembre[[#This Row],[COTIZACION]])</f>
        <v/>
      </c>
      <c r="H88" s="64"/>
    </row>
    <row r="89" spans="2:8" ht="15.5" x14ac:dyDescent="0.35">
      <c r="B89" s="9"/>
      <c r="C89" s="9"/>
      <c r="D89" s="1"/>
      <c r="E89" s="9"/>
      <c r="F89" s="10"/>
      <c r="G89" s="64" t="str">
        <f>IF(Septiembre[[#This Row],[COTIZACION]]="", "", Septiembre[[#This Row],[ARS]]/Septiembre[[#This Row],[COTIZACION]])</f>
        <v/>
      </c>
      <c r="H89" s="64"/>
    </row>
    <row r="90" spans="2:8" ht="15.5" x14ac:dyDescent="0.35">
      <c r="B90" s="9"/>
      <c r="C90" s="9"/>
      <c r="D90" s="1"/>
      <c r="E90" s="9"/>
      <c r="F90" s="10"/>
      <c r="G90" s="64" t="str">
        <f>IF(Septiembre[[#This Row],[COTIZACION]]="", "", Septiembre[[#This Row],[ARS]]/Septiembre[[#This Row],[COTIZACION]])</f>
        <v/>
      </c>
      <c r="H90" s="64"/>
    </row>
    <row r="91" spans="2:8" ht="15.5" x14ac:dyDescent="0.35">
      <c r="B91" s="9"/>
      <c r="C91" s="9"/>
      <c r="D91" s="1"/>
      <c r="E91" s="9"/>
      <c r="F91" s="10"/>
      <c r="G91" s="64" t="str">
        <f>IF(Septiembre[[#This Row],[COTIZACION]]="", "", Septiembre[[#This Row],[ARS]]/Septiembre[[#This Row],[COTIZACION]])</f>
        <v/>
      </c>
      <c r="H91" s="64"/>
    </row>
    <row r="92" spans="2:8" ht="15.5" x14ac:dyDescent="0.35">
      <c r="B92" s="9"/>
      <c r="C92" s="9"/>
      <c r="D92" s="1"/>
      <c r="E92" s="9"/>
      <c r="F92" s="10"/>
      <c r="G92" s="64" t="str">
        <f>IF(Septiembre[[#This Row],[COTIZACION]]="", "", Septiembre[[#This Row],[ARS]]/Septiembre[[#This Row],[COTIZACION]])</f>
        <v/>
      </c>
      <c r="H92" s="64"/>
    </row>
    <row r="93" spans="2:8" ht="15.5" x14ac:dyDescent="0.35">
      <c r="B93" s="9"/>
      <c r="C93" s="9"/>
      <c r="D93" s="1"/>
      <c r="E93" s="9"/>
      <c r="F93" s="10"/>
      <c r="G93" s="64" t="str">
        <f>IF(Septiembre[[#This Row],[COTIZACION]]="", "", Septiembre[[#This Row],[ARS]]/Septiembre[[#This Row],[COTIZACION]])</f>
        <v/>
      </c>
      <c r="H93" s="64"/>
    </row>
    <row r="94" spans="2:8" ht="15.5" x14ac:dyDescent="0.35">
      <c r="B94" s="9"/>
      <c r="C94" s="9"/>
      <c r="D94" s="1"/>
      <c r="E94" s="9"/>
      <c r="F94" s="10"/>
      <c r="G94" s="64" t="str">
        <f>IF(Septiembre[[#This Row],[COTIZACION]]="", "", Septiembre[[#This Row],[ARS]]/Septiembre[[#This Row],[COTIZACION]])</f>
        <v/>
      </c>
      <c r="H94" s="64"/>
    </row>
    <row r="95" spans="2:8" ht="15.5" x14ac:dyDescent="0.35">
      <c r="B95" s="9"/>
      <c r="C95" s="9"/>
      <c r="D95" s="1"/>
      <c r="E95" s="9"/>
      <c r="F95" s="10"/>
      <c r="G95" s="64" t="str">
        <f>IF(Septiembre[[#This Row],[COTIZACION]]="", "", Septiembre[[#This Row],[ARS]]/Septiembre[[#This Row],[COTIZACION]])</f>
        <v/>
      </c>
      <c r="H95" s="64"/>
    </row>
    <row r="96" spans="2:8" ht="15.5" x14ac:dyDescent="0.35">
      <c r="B96" s="9"/>
      <c r="C96" s="9"/>
      <c r="D96" s="1"/>
      <c r="E96" s="9"/>
      <c r="F96" s="10"/>
      <c r="G96" s="64" t="str">
        <f>IF(Septiembre[[#This Row],[COTIZACION]]="", "", Septiembre[[#This Row],[ARS]]/Septiembre[[#This Row],[COTIZACION]])</f>
        <v/>
      </c>
      <c r="H96" s="64"/>
    </row>
    <row r="97" spans="2:8" ht="15.5" x14ac:dyDescent="0.35">
      <c r="B97" s="9"/>
      <c r="C97" s="9"/>
      <c r="D97" s="1"/>
      <c r="E97" s="9"/>
      <c r="F97" s="10"/>
      <c r="G97" s="64" t="str">
        <f>IF(Septiembre[[#This Row],[COTIZACION]]="", "", Septiembre[[#This Row],[ARS]]/Septiembre[[#This Row],[COTIZACION]])</f>
        <v/>
      </c>
      <c r="H97" s="64"/>
    </row>
    <row r="98" spans="2:8" ht="15.5" x14ac:dyDescent="0.35">
      <c r="B98" s="9"/>
      <c r="C98" s="9"/>
      <c r="D98" s="1"/>
      <c r="E98" s="9"/>
      <c r="F98" s="10"/>
      <c r="G98" s="64" t="str">
        <f>IF(Septiembre[[#This Row],[COTIZACION]]="", "", Septiembre[[#This Row],[ARS]]/Septiembre[[#This Row],[COTIZACION]])</f>
        <v/>
      </c>
      <c r="H98" s="64"/>
    </row>
    <row r="99" spans="2:8" ht="15.5" x14ac:dyDescent="0.35">
      <c r="B99" s="9"/>
      <c r="C99" s="9"/>
      <c r="D99" s="1"/>
      <c r="E99" s="9"/>
      <c r="F99" s="10"/>
      <c r="G99" s="64" t="str">
        <f>IF(Septiembre[[#This Row],[COTIZACION]]="", "", Septiembre[[#This Row],[ARS]]/Septiembre[[#This Row],[COTIZACION]])</f>
        <v/>
      </c>
      <c r="H99" s="64"/>
    </row>
    <row r="100" spans="2:8" ht="15.5" x14ac:dyDescent="0.35">
      <c r="B100" s="35"/>
      <c r="C100" s="35"/>
      <c r="D100" s="36"/>
      <c r="E100" s="35"/>
      <c r="F100" s="37"/>
      <c r="G100" s="66" t="str">
        <f>IF(Septiembre[[#This Row],[COTIZACION]]="", "", Septiembre[[#This Row],[ARS]]/Septiembre[[#This Row],[COTIZACION]])</f>
        <v/>
      </c>
      <c r="H100" s="66"/>
    </row>
  </sheetData>
  <dataConsolidate/>
  <mergeCells count="1">
    <mergeCell ref="F1:H1"/>
  </mergeCells>
  <dataValidations count="2">
    <dataValidation type="list" allowBlank="1" showInputMessage="1" showErrorMessage="1" sqref="B6:B100" xr:uid="{00000000-0002-0000-0C00-000000000000}">
      <formula1>Categorías</formula1>
    </dataValidation>
    <dataValidation type="list" allowBlank="1" showInputMessage="1" showErrorMessage="1" sqref="C6:C100" xr:uid="{00000000-0002-0000-0C00-000001000000}">
      <formula1>INDIRECT($B6)</formula1>
    </dataValidation>
  </dataValidations>
  <pageMargins left="0.7" right="0.7" top="0.75" bottom="0.75" header="0.3" footer="0.3"/>
  <pageSetup paperSize="9" orientation="portrait" r:id="rId1"/>
  <ignoredErrors>
    <ignoredError sqref="F3:F4" unlockedFormula="1"/>
  </ignoredErrors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L94"/>
  <sheetViews>
    <sheetView showGridLines="0" topLeftCell="B1" zoomScale="112" zoomScaleNormal="112" workbookViewId="0">
      <pane ySplit="5" topLeftCell="A6" activePane="bottomLeft" state="frozen"/>
      <selection pane="bottomLeft" activeCell="E12" sqref="E12"/>
    </sheetView>
  </sheetViews>
  <sheetFormatPr defaultColWidth="9.08984375" defaultRowHeight="14.5" x14ac:dyDescent="0.35"/>
  <cols>
    <col min="1" max="1" width="5.54296875" customWidth="1"/>
    <col min="2" max="2" width="23.08984375" customWidth="1"/>
    <col min="3" max="3" width="26.54296875" customWidth="1"/>
    <col min="4" max="4" width="12.6328125" style="2" customWidth="1"/>
    <col min="5" max="5" width="37" customWidth="1"/>
    <col min="6" max="8" width="17.36328125" style="3" customWidth="1"/>
    <col min="9" max="10" width="9.08984375" customWidth="1"/>
    <col min="11" max="11" width="9.08984375" style="2" customWidth="1"/>
    <col min="12" max="12" width="16.54296875" bestFit="1" customWidth="1"/>
    <col min="13" max="13" width="11.90625" bestFit="1" customWidth="1"/>
    <col min="14" max="14" width="15.54296875" bestFit="1" customWidth="1"/>
  </cols>
  <sheetData>
    <row r="1" spans="2:12" s="4" customFormat="1" ht="18.5" x14ac:dyDescent="0.45">
      <c r="B1" s="25" t="s">
        <v>34</v>
      </c>
      <c r="C1" s="25"/>
      <c r="D1" s="25"/>
      <c r="E1" s="25"/>
      <c r="F1" s="137" t="s">
        <v>25</v>
      </c>
      <c r="G1" s="137"/>
      <c r="H1" s="137"/>
      <c r="K1" s="5"/>
    </row>
    <row r="2" spans="2:12" s="6" customFormat="1" ht="15" customHeight="1" x14ac:dyDescent="0.35">
      <c r="B2" s="2"/>
      <c r="D2" s="8"/>
      <c r="E2" s="27" t="s">
        <v>59</v>
      </c>
      <c r="F2" s="28">
        <f>SUM(Octubre[ARS])</f>
        <v>2875152</v>
      </c>
      <c r="G2" s="28">
        <f>SUM(Octubre[USD])</f>
        <v>2114.0823529411764</v>
      </c>
      <c r="H2" s="28"/>
      <c r="K2" s="8"/>
    </row>
    <row r="3" spans="2:12" s="6" customFormat="1" ht="15" customHeight="1" x14ac:dyDescent="0.35">
      <c r="B3" s="2"/>
      <c r="D3" s="8"/>
      <c r="E3" s="27" t="s">
        <v>65</v>
      </c>
      <c r="F3" s="29">
        <f>MAX(Octubre[ARS])</f>
        <v>1360000</v>
      </c>
      <c r="G3" s="29">
        <f>MAX(Octubre[USD])</f>
        <v>1000</v>
      </c>
      <c r="H3" s="29">
        <f>MAX(Octubre[COTIZACION])</f>
        <v>1360</v>
      </c>
      <c r="K3" s="8"/>
    </row>
    <row r="4" spans="2:12" s="6" customFormat="1" ht="15" customHeight="1" x14ac:dyDescent="0.35">
      <c r="B4" s="2"/>
      <c r="D4" s="8"/>
      <c r="E4" s="27" t="s">
        <v>66</v>
      </c>
      <c r="F4" s="29">
        <f>MIN(Octubre[ARS])</f>
        <v>10000</v>
      </c>
      <c r="G4" s="29">
        <f>MIN(Octubre[USD])</f>
        <v>7.3529411764705879</v>
      </c>
      <c r="H4" s="29">
        <f>MIN(Octubre[COTIZACION])</f>
        <v>1360</v>
      </c>
      <c r="K4" s="8"/>
    </row>
    <row r="5" spans="2:12" s="33" customFormat="1" ht="15.5" x14ac:dyDescent="0.35">
      <c r="B5" s="30" t="s">
        <v>35</v>
      </c>
      <c r="C5" s="30" t="s">
        <v>36</v>
      </c>
      <c r="D5" s="30" t="s">
        <v>37</v>
      </c>
      <c r="E5" s="30" t="s">
        <v>13</v>
      </c>
      <c r="F5" s="30" t="s">
        <v>64</v>
      </c>
      <c r="G5" s="30" t="s">
        <v>63</v>
      </c>
      <c r="H5" s="30" t="s">
        <v>62</v>
      </c>
      <c r="I5" s="32"/>
      <c r="K5" s="34"/>
      <c r="L5" s="11"/>
    </row>
    <row r="6" spans="2:12" ht="15.5" x14ac:dyDescent="0.35">
      <c r="B6" s="9" t="s">
        <v>14</v>
      </c>
      <c r="C6" s="9" t="s">
        <v>72</v>
      </c>
      <c r="D6" s="1" t="s">
        <v>237</v>
      </c>
      <c r="E6" s="9" t="s">
        <v>72</v>
      </c>
      <c r="F6" s="10">
        <v>871632</v>
      </c>
      <c r="G6" s="10">
        <f>IF(Octubre[[#This Row],[COTIZACION]]="", "", Octubre[[#This Row],[ARS]]/Octubre[[#This Row],[COTIZACION]])</f>
        <v>640.90588235294115</v>
      </c>
      <c r="H6" s="10">
        <v>1360</v>
      </c>
    </row>
    <row r="7" spans="2:12" ht="15.75" customHeight="1" x14ac:dyDescent="0.35">
      <c r="B7" s="9" t="s">
        <v>85</v>
      </c>
      <c r="C7" s="9" t="s">
        <v>162</v>
      </c>
      <c r="D7" s="1">
        <v>45940</v>
      </c>
      <c r="E7" s="9" t="s">
        <v>183</v>
      </c>
      <c r="F7" s="10">
        <v>1360000</v>
      </c>
      <c r="G7" s="10">
        <v>1000</v>
      </c>
      <c r="H7" s="10">
        <v>1360</v>
      </c>
    </row>
    <row r="8" spans="2:12" ht="15.5" x14ac:dyDescent="0.35">
      <c r="B8" s="9" t="s">
        <v>0</v>
      </c>
      <c r="C8" s="9" t="s">
        <v>88</v>
      </c>
      <c r="D8" s="1" t="s">
        <v>235</v>
      </c>
      <c r="E8" s="9" t="s">
        <v>215</v>
      </c>
      <c r="F8" s="10">
        <v>387600</v>
      </c>
      <c r="G8" s="10">
        <f>IF(Octubre[[#This Row],[COTIZACION]]="", "", Octubre[[#This Row],[ARS]]/Octubre[[#This Row],[COTIZACION]])</f>
        <v>285</v>
      </c>
      <c r="H8" s="98">
        <v>1360</v>
      </c>
    </row>
    <row r="9" spans="2:12" ht="15.75" customHeight="1" x14ac:dyDescent="0.35">
      <c r="B9" s="96" t="s">
        <v>14</v>
      </c>
      <c r="C9" s="96" t="s">
        <v>4</v>
      </c>
      <c r="D9" s="97" t="s">
        <v>236</v>
      </c>
      <c r="E9" s="96" t="s">
        <v>143</v>
      </c>
      <c r="F9" s="98">
        <v>30000</v>
      </c>
      <c r="G9" s="10">
        <f>IF(Octubre[[#This Row],[COTIZACION]]="", "", Octubre[[#This Row],[ARS]]/Octubre[[#This Row],[COTIZACION]])</f>
        <v>22.058823529411764</v>
      </c>
      <c r="H9" s="98">
        <v>1360</v>
      </c>
    </row>
    <row r="10" spans="2:12" ht="15.75" customHeight="1" x14ac:dyDescent="0.35">
      <c r="B10" s="9" t="s">
        <v>14</v>
      </c>
      <c r="C10" s="9" t="s">
        <v>33</v>
      </c>
      <c r="D10" s="97" t="s">
        <v>236</v>
      </c>
      <c r="E10" s="9" t="s">
        <v>201</v>
      </c>
      <c r="F10" s="10">
        <v>10000</v>
      </c>
      <c r="G10" s="10">
        <f>IF(Octubre[[#This Row],[COTIZACION]]="", "", Octubre[[#This Row],[ARS]]/Octubre[[#This Row],[COTIZACION]])</f>
        <v>7.3529411764705879</v>
      </c>
      <c r="H10" s="10">
        <v>1360</v>
      </c>
    </row>
    <row r="11" spans="2:12" ht="15.5" x14ac:dyDescent="0.35">
      <c r="B11" s="9" t="s">
        <v>14</v>
      </c>
      <c r="C11" s="9" t="s">
        <v>80</v>
      </c>
      <c r="D11" s="97" t="s">
        <v>236</v>
      </c>
      <c r="E11" s="9" t="s">
        <v>230</v>
      </c>
      <c r="F11" s="10">
        <v>50000</v>
      </c>
      <c r="G11" s="10">
        <f>IF(Octubre[[#This Row],[COTIZACION]]="", "", Octubre[[#This Row],[ARS]]/Octubre[[#This Row],[COTIZACION]])</f>
        <v>36.764705882352942</v>
      </c>
      <c r="H11" s="10">
        <v>1360</v>
      </c>
    </row>
    <row r="12" spans="2:12" ht="15.5" x14ac:dyDescent="0.35">
      <c r="B12" s="9" t="s">
        <v>8</v>
      </c>
      <c r="C12" s="9" t="s">
        <v>106</v>
      </c>
      <c r="D12" s="9" t="s">
        <v>238</v>
      </c>
      <c r="E12" s="9" t="s">
        <v>159</v>
      </c>
      <c r="F12" s="10">
        <v>165920</v>
      </c>
      <c r="G12" s="10">
        <v>122</v>
      </c>
      <c r="H12" s="10">
        <v>1360</v>
      </c>
    </row>
    <row r="13" spans="2:12" ht="15.5" x14ac:dyDescent="0.35">
      <c r="B13" s="9"/>
      <c r="C13" s="9"/>
      <c r="D13" s="100"/>
      <c r="E13" s="9"/>
      <c r="F13" s="10"/>
      <c r="G13" s="10" t="str">
        <f>IF(Octubre[[#This Row],[COTIZACION]]="", "", Octubre[[#This Row],[ARS]]/Octubre[[#This Row],[COTIZACION]])</f>
        <v/>
      </c>
      <c r="H13" s="10"/>
    </row>
    <row r="14" spans="2:12" ht="15.5" x14ac:dyDescent="0.35">
      <c r="B14" s="96"/>
      <c r="C14" s="96"/>
      <c r="D14" s="100"/>
      <c r="E14" s="9"/>
      <c r="F14" s="10"/>
      <c r="G14" s="10" t="str">
        <f>IF(Octubre[[#This Row],[COTIZACION]]="", "", Octubre[[#This Row],[ARS]]/Octubre[[#This Row],[COTIZACION]])</f>
        <v/>
      </c>
      <c r="H14" s="10"/>
    </row>
    <row r="15" spans="2:12" ht="15.5" x14ac:dyDescent="0.35">
      <c r="B15" s="9"/>
      <c r="C15" s="9"/>
      <c r="D15" s="1"/>
      <c r="E15" s="9"/>
      <c r="F15" s="10"/>
      <c r="G15" s="10" t="str">
        <f>IF(Octubre[[#This Row],[COTIZACION]]="", "", Octubre[[#This Row],[ARS]]/Octubre[[#This Row],[COTIZACION]])</f>
        <v/>
      </c>
      <c r="H15" s="10"/>
    </row>
    <row r="16" spans="2:12" ht="15.5" x14ac:dyDescent="0.35">
      <c r="B16" s="9"/>
      <c r="C16" s="9"/>
      <c r="D16" s="1"/>
      <c r="E16" s="9"/>
      <c r="F16" s="10"/>
      <c r="G16" s="10" t="str">
        <f>IF(Octubre[[#This Row],[COTIZACION]]="", "", Octubre[[#This Row],[ARS]]/Octubre[[#This Row],[COTIZACION]])</f>
        <v/>
      </c>
      <c r="H16" s="10"/>
    </row>
    <row r="17" spans="2:8" ht="15.5" x14ac:dyDescent="0.35">
      <c r="B17" s="9"/>
      <c r="C17" s="9"/>
      <c r="D17" s="1"/>
      <c r="E17" s="9"/>
      <c r="F17" s="10"/>
      <c r="G17" s="10" t="str">
        <f>IF(Octubre[[#This Row],[COTIZACION]]="", "", Octubre[[#This Row],[ARS]]/Octubre[[#This Row],[COTIZACION]])</f>
        <v/>
      </c>
      <c r="H17" s="10"/>
    </row>
    <row r="18" spans="2:8" ht="15.5" x14ac:dyDescent="0.35">
      <c r="B18" s="9"/>
      <c r="C18" s="9"/>
      <c r="D18" s="1"/>
      <c r="E18" s="9"/>
      <c r="F18" s="10"/>
      <c r="G18" s="10" t="str">
        <f>IF(Octubre[[#This Row],[COTIZACION]]="", "", Octubre[[#This Row],[ARS]]/Octubre[[#This Row],[COTIZACION]])</f>
        <v/>
      </c>
      <c r="H18" s="10"/>
    </row>
    <row r="19" spans="2:8" ht="15.5" x14ac:dyDescent="0.35">
      <c r="B19" s="9"/>
      <c r="C19" s="9"/>
      <c r="D19" s="1"/>
      <c r="E19" s="9"/>
      <c r="F19" s="10"/>
      <c r="G19" s="10" t="str">
        <f>IF(Octubre[[#This Row],[COTIZACION]]="", "", Octubre[[#This Row],[ARS]]/Octubre[[#This Row],[COTIZACION]])</f>
        <v/>
      </c>
      <c r="H19" s="10"/>
    </row>
    <row r="20" spans="2:8" ht="15.5" x14ac:dyDescent="0.35">
      <c r="B20" s="9"/>
      <c r="C20" s="9"/>
      <c r="D20" s="1"/>
      <c r="E20" s="9"/>
      <c r="F20" s="10"/>
      <c r="G20" s="10" t="str">
        <f>IF(Octubre[[#This Row],[COTIZACION]]="", "", Octubre[[#This Row],[ARS]]/Octubre[[#This Row],[COTIZACION]])</f>
        <v/>
      </c>
      <c r="H20" s="10"/>
    </row>
    <row r="21" spans="2:8" ht="15.5" x14ac:dyDescent="0.35">
      <c r="B21" s="9"/>
      <c r="C21" s="9"/>
      <c r="D21" s="1"/>
      <c r="E21" s="9"/>
      <c r="F21" s="10"/>
      <c r="G21" s="10" t="str">
        <f>IF(Octubre[[#This Row],[COTIZACION]]="", "", Octubre[[#This Row],[ARS]]/Octubre[[#This Row],[COTIZACION]])</f>
        <v/>
      </c>
      <c r="H21" s="10"/>
    </row>
    <row r="22" spans="2:8" ht="15.5" x14ac:dyDescent="0.35">
      <c r="B22" s="9"/>
      <c r="C22" s="9"/>
      <c r="D22" s="1"/>
      <c r="E22" s="9"/>
      <c r="F22" s="10"/>
      <c r="G22" s="10" t="str">
        <f>IF(Octubre[[#This Row],[COTIZACION]]="", "", Octubre[[#This Row],[ARS]]/Octubre[[#This Row],[COTIZACION]])</f>
        <v/>
      </c>
      <c r="H22" s="10"/>
    </row>
    <row r="23" spans="2:8" ht="15.5" x14ac:dyDescent="0.35">
      <c r="B23" s="9"/>
      <c r="C23" s="9"/>
      <c r="D23" s="1"/>
      <c r="E23" s="9"/>
      <c r="F23" s="10"/>
      <c r="G23" s="10" t="str">
        <f>IF(Octubre[[#This Row],[COTIZACION]]="", "", Octubre[[#This Row],[ARS]]/Octubre[[#This Row],[COTIZACION]])</f>
        <v/>
      </c>
      <c r="H23" s="10"/>
    </row>
    <row r="24" spans="2:8" ht="15.5" x14ac:dyDescent="0.35">
      <c r="B24" s="9"/>
      <c r="C24" s="9"/>
      <c r="D24" s="1"/>
      <c r="E24" s="9"/>
      <c r="F24" s="10"/>
      <c r="G24" s="10" t="str">
        <f>IF(Octubre[[#This Row],[COTIZACION]]="", "", Octubre[[#This Row],[ARS]]/Octubre[[#This Row],[COTIZACION]])</f>
        <v/>
      </c>
      <c r="H24" s="10"/>
    </row>
    <row r="25" spans="2:8" ht="15.5" x14ac:dyDescent="0.35">
      <c r="B25" s="9"/>
      <c r="C25" s="9"/>
      <c r="D25" s="1"/>
      <c r="E25" s="9"/>
      <c r="F25" s="10"/>
      <c r="G25" s="10" t="str">
        <f>IF(Octubre[[#This Row],[COTIZACION]]="", "", Octubre[[#This Row],[ARS]]/Octubre[[#This Row],[COTIZACION]])</f>
        <v/>
      </c>
      <c r="H25" s="10"/>
    </row>
    <row r="26" spans="2:8" ht="15.5" x14ac:dyDescent="0.35">
      <c r="B26" s="9"/>
      <c r="C26" s="9"/>
      <c r="D26" s="1"/>
      <c r="E26" s="9"/>
      <c r="F26" s="10"/>
      <c r="G26" s="10" t="str">
        <f>IF(Octubre[[#This Row],[COTIZACION]]="", "", Octubre[[#This Row],[ARS]]/Octubre[[#This Row],[COTIZACION]])</f>
        <v/>
      </c>
      <c r="H26" s="10"/>
    </row>
    <row r="27" spans="2:8" ht="15.5" x14ac:dyDescent="0.35">
      <c r="B27" s="9"/>
      <c r="C27" s="9"/>
      <c r="D27" s="1"/>
      <c r="E27" s="9"/>
      <c r="F27" s="10"/>
      <c r="G27" s="10" t="str">
        <f>IF(Octubre[[#This Row],[COTIZACION]]="", "", Octubre[[#This Row],[ARS]]/Octubre[[#This Row],[COTIZACION]])</f>
        <v/>
      </c>
      <c r="H27" s="10"/>
    </row>
    <row r="28" spans="2:8" ht="15.5" x14ac:dyDescent="0.35">
      <c r="B28" s="9"/>
      <c r="C28" s="9"/>
      <c r="D28" s="1"/>
      <c r="E28" s="9"/>
      <c r="F28" s="10"/>
      <c r="G28" s="10" t="str">
        <f>IF(Octubre[[#This Row],[COTIZACION]]="", "", Octubre[[#This Row],[ARS]]/Octubre[[#This Row],[COTIZACION]])</f>
        <v/>
      </c>
      <c r="H28" s="10"/>
    </row>
    <row r="29" spans="2:8" ht="15.5" x14ac:dyDescent="0.35">
      <c r="B29" s="9"/>
      <c r="C29" s="9"/>
      <c r="D29" s="1"/>
      <c r="E29" s="9"/>
      <c r="F29" s="10"/>
      <c r="G29" s="10" t="str">
        <f>IF(Octubre[[#This Row],[COTIZACION]]="", "", Octubre[[#This Row],[ARS]]/Octubre[[#This Row],[COTIZACION]])</f>
        <v/>
      </c>
      <c r="H29" s="10"/>
    </row>
    <row r="30" spans="2:8" ht="15.5" x14ac:dyDescent="0.35">
      <c r="B30" s="9"/>
      <c r="C30" s="9"/>
      <c r="D30" s="1"/>
      <c r="E30" s="9"/>
      <c r="F30" s="10"/>
      <c r="G30" s="10" t="str">
        <f>IF(Octubre[[#This Row],[COTIZACION]]="", "", Octubre[[#This Row],[ARS]]/Octubre[[#This Row],[COTIZACION]])</f>
        <v/>
      </c>
      <c r="H30" s="10"/>
    </row>
    <row r="31" spans="2:8" ht="15.5" x14ac:dyDescent="0.35">
      <c r="B31" s="9"/>
      <c r="C31" s="9"/>
      <c r="D31" s="1"/>
      <c r="E31" s="9"/>
      <c r="F31" s="10"/>
      <c r="G31" s="10" t="str">
        <f>IF(Octubre[[#This Row],[COTIZACION]]="", "", Octubre[[#This Row],[ARS]]/Octubre[[#This Row],[COTIZACION]])</f>
        <v/>
      </c>
      <c r="H31" s="10"/>
    </row>
    <row r="32" spans="2:8" ht="15.5" x14ac:dyDescent="0.35">
      <c r="B32" s="9"/>
      <c r="C32" s="9"/>
      <c r="D32" s="1"/>
      <c r="E32" s="9"/>
      <c r="F32" s="10"/>
      <c r="G32" s="10" t="str">
        <f>IF(Octubre[[#This Row],[COTIZACION]]="", "", Octubre[[#This Row],[ARS]]/Octubre[[#This Row],[COTIZACION]])</f>
        <v/>
      </c>
      <c r="H32" s="10"/>
    </row>
    <row r="33" spans="2:8" ht="15.5" x14ac:dyDescent="0.35">
      <c r="B33" s="9"/>
      <c r="C33" s="9"/>
      <c r="D33" s="1"/>
      <c r="E33" s="9"/>
      <c r="F33" s="10"/>
      <c r="G33" s="10" t="str">
        <f>IF(Octubre[[#This Row],[COTIZACION]]="", "", Octubre[[#This Row],[ARS]]/Octubre[[#This Row],[COTIZACION]])</f>
        <v/>
      </c>
      <c r="H33" s="10"/>
    </row>
    <row r="34" spans="2:8" ht="15.5" x14ac:dyDescent="0.35">
      <c r="B34" s="9"/>
      <c r="C34" s="9"/>
      <c r="D34" s="1"/>
      <c r="E34" s="9"/>
      <c r="F34" s="10"/>
      <c r="G34" s="10" t="str">
        <f>IF(Octubre[[#This Row],[COTIZACION]]="", "", Octubre[[#This Row],[ARS]]/Octubre[[#This Row],[COTIZACION]])</f>
        <v/>
      </c>
      <c r="H34" s="10"/>
    </row>
    <row r="35" spans="2:8" ht="15.5" x14ac:dyDescent="0.35">
      <c r="B35" s="9"/>
      <c r="C35" s="9"/>
      <c r="D35" s="1"/>
      <c r="E35" s="9"/>
      <c r="F35" s="10"/>
      <c r="G35" s="10" t="str">
        <f>IF(Octubre[[#This Row],[COTIZACION]]="", "", Octubre[[#This Row],[ARS]]/Octubre[[#This Row],[COTIZACION]])</f>
        <v/>
      </c>
      <c r="H35" s="10"/>
    </row>
    <row r="36" spans="2:8" ht="15.5" x14ac:dyDescent="0.35">
      <c r="B36" s="9"/>
      <c r="C36" s="9"/>
      <c r="D36" s="1"/>
      <c r="E36" s="9"/>
      <c r="F36" s="10"/>
      <c r="G36" s="10" t="str">
        <f>IF(Octubre[[#This Row],[COTIZACION]]="", "", Octubre[[#This Row],[ARS]]/Octubre[[#This Row],[COTIZACION]])</f>
        <v/>
      </c>
      <c r="H36" s="10"/>
    </row>
    <row r="37" spans="2:8" ht="15.5" x14ac:dyDescent="0.35">
      <c r="B37" s="9"/>
      <c r="C37" s="9"/>
      <c r="D37" s="1"/>
      <c r="E37" s="9"/>
      <c r="F37" s="10"/>
      <c r="G37" s="10" t="str">
        <f>IF(Octubre[[#This Row],[COTIZACION]]="", "", Octubre[[#This Row],[ARS]]/Octubre[[#This Row],[COTIZACION]])</f>
        <v/>
      </c>
      <c r="H37" s="10"/>
    </row>
    <row r="38" spans="2:8" ht="15.5" x14ac:dyDescent="0.35">
      <c r="B38" s="9"/>
      <c r="C38" s="9"/>
      <c r="D38" s="1"/>
      <c r="E38" s="9"/>
      <c r="F38" s="10"/>
      <c r="G38" s="10" t="str">
        <f>IF(Octubre[[#This Row],[COTIZACION]]="", "", Octubre[[#This Row],[ARS]]/Octubre[[#This Row],[COTIZACION]])</f>
        <v/>
      </c>
      <c r="H38" s="10"/>
    </row>
    <row r="39" spans="2:8" ht="15.5" x14ac:dyDescent="0.35">
      <c r="B39" s="9"/>
      <c r="C39" s="9"/>
      <c r="D39" s="1"/>
      <c r="E39" s="9"/>
      <c r="F39" s="10"/>
      <c r="G39" s="10" t="str">
        <f>IF(Octubre[[#This Row],[COTIZACION]]="", "", Octubre[[#This Row],[ARS]]/Octubre[[#This Row],[COTIZACION]])</f>
        <v/>
      </c>
      <c r="H39" s="10"/>
    </row>
    <row r="40" spans="2:8" ht="15.5" x14ac:dyDescent="0.35">
      <c r="B40" s="9"/>
      <c r="C40" s="9"/>
      <c r="D40" s="1"/>
      <c r="E40" s="9"/>
      <c r="F40" s="10"/>
      <c r="G40" s="10" t="str">
        <f>IF(Octubre[[#This Row],[COTIZACION]]="", "", Octubre[[#This Row],[ARS]]/Octubre[[#This Row],[COTIZACION]])</f>
        <v/>
      </c>
      <c r="H40" s="10"/>
    </row>
    <row r="41" spans="2:8" ht="15.5" x14ac:dyDescent="0.35">
      <c r="B41" s="9"/>
      <c r="C41" s="9"/>
      <c r="D41" s="1"/>
      <c r="E41" s="9"/>
      <c r="F41" s="10"/>
      <c r="G41" s="10" t="str">
        <f>IF(Octubre[[#This Row],[COTIZACION]]="", "", Octubre[[#This Row],[ARS]]/Octubre[[#This Row],[COTIZACION]])</f>
        <v/>
      </c>
      <c r="H41" s="10"/>
    </row>
    <row r="42" spans="2:8" ht="15.5" x14ac:dyDescent="0.35">
      <c r="B42" s="9"/>
      <c r="C42" s="9"/>
      <c r="D42" s="1"/>
      <c r="E42" s="9"/>
      <c r="F42" s="10"/>
      <c r="G42" s="10" t="str">
        <f>IF(Octubre[[#This Row],[COTIZACION]]="", "", Octubre[[#This Row],[ARS]]/Octubre[[#This Row],[COTIZACION]])</f>
        <v/>
      </c>
      <c r="H42" s="10"/>
    </row>
    <row r="43" spans="2:8" ht="15.5" x14ac:dyDescent="0.35">
      <c r="B43" s="9"/>
      <c r="C43" s="9"/>
      <c r="D43" s="1"/>
      <c r="E43" s="9"/>
      <c r="F43" s="10"/>
      <c r="G43" s="10" t="str">
        <f>IF(Octubre[[#This Row],[COTIZACION]]="", "", Octubre[[#This Row],[ARS]]/Octubre[[#This Row],[COTIZACION]])</f>
        <v/>
      </c>
      <c r="H43" s="10"/>
    </row>
    <row r="44" spans="2:8" ht="15.5" x14ac:dyDescent="0.35">
      <c r="B44" s="9"/>
      <c r="C44" s="9"/>
      <c r="D44" s="1"/>
      <c r="E44" s="9"/>
      <c r="F44" s="10"/>
      <c r="G44" s="10" t="str">
        <f>IF(Octubre[[#This Row],[COTIZACION]]="", "", Octubre[[#This Row],[ARS]]/Octubre[[#This Row],[COTIZACION]])</f>
        <v/>
      </c>
      <c r="H44" s="10"/>
    </row>
    <row r="45" spans="2:8" ht="15.5" x14ac:dyDescent="0.35">
      <c r="B45" s="9"/>
      <c r="C45" s="9"/>
      <c r="D45" s="1"/>
      <c r="E45" s="9"/>
      <c r="F45" s="10"/>
      <c r="G45" s="10" t="str">
        <f>IF(Octubre[[#This Row],[COTIZACION]]="", "", Octubre[[#This Row],[ARS]]/Octubre[[#This Row],[COTIZACION]])</f>
        <v/>
      </c>
      <c r="H45" s="10"/>
    </row>
    <row r="46" spans="2:8" ht="15.5" x14ac:dyDescent="0.35">
      <c r="B46" s="9"/>
      <c r="C46" s="9"/>
      <c r="D46" s="1"/>
      <c r="E46" s="9"/>
      <c r="F46" s="10"/>
      <c r="G46" s="10" t="str">
        <f>IF(Octubre[[#This Row],[COTIZACION]]="", "", Octubre[[#This Row],[ARS]]/Octubre[[#This Row],[COTIZACION]])</f>
        <v/>
      </c>
      <c r="H46" s="10"/>
    </row>
    <row r="47" spans="2:8" ht="15.5" x14ac:dyDescent="0.35">
      <c r="B47" s="9"/>
      <c r="C47" s="9"/>
      <c r="D47" s="1"/>
      <c r="E47" s="9"/>
      <c r="F47" s="10"/>
      <c r="G47" s="10" t="str">
        <f>IF(Octubre[[#This Row],[COTIZACION]]="", "", Octubre[[#This Row],[ARS]]/Octubre[[#This Row],[COTIZACION]])</f>
        <v/>
      </c>
      <c r="H47" s="10"/>
    </row>
    <row r="48" spans="2:8" ht="15.5" x14ac:dyDescent="0.35">
      <c r="B48" s="9"/>
      <c r="C48" s="9"/>
      <c r="D48" s="1"/>
      <c r="E48" s="9"/>
      <c r="F48" s="10"/>
      <c r="G48" s="10" t="str">
        <f>IF(Octubre[[#This Row],[COTIZACION]]="", "", Octubre[[#This Row],[ARS]]/Octubre[[#This Row],[COTIZACION]])</f>
        <v/>
      </c>
      <c r="H48" s="10"/>
    </row>
    <row r="49" spans="2:8" ht="15.5" x14ac:dyDescent="0.35">
      <c r="B49" s="9"/>
      <c r="C49" s="9"/>
      <c r="D49" s="1"/>
      <c r="E49" s="9"/>
      <c r="F49" s="10"/>
      <c r="G49" s="10" t="str">
        <f>IF(Octubre[[#This Row],[COTIZACION]]="", "", Octubre[[#This Row],[ARS]]/Octubre[[#This Row],[COTIZACION]])</f>
        <v/>
      </c>
      <c r="H49" s="10"/>
    </row>
    <row r="50" spans="2:8" ht="15.5" x14ac:dyDescent="0.35">
      <c r="B50" s="9"/>
      <c r="C50" s="9"/>
      <c r="D50" s="1"/>
      <c r="E50" s="9"/>
      <c r="F50" s="10"/>
      <c r="G50" s="10" t="str">
        <f>IF(Octubre[[#This Row],[COTIZACION]]="", "", Octubre[[#This Row],[ARS]]/Octubre[[#This Row],[COTIZACION]])</f>
        <v/>
      </c>
      <c r="H50" s="10"/>
    </row>
    <row r="51" spans="2:8" ht="15.5" x14ac:dyDescent="0.35">
      <c r="B51" s="9"/>
      <c r="C51" s="9"/>
      <c r="D51" s="1"/>
      <c r="E51" s="9"/>
      <c r="F51" s="10"/>
      <c r="G51" s="10" t="str">
        <f>IF(Octubre[[#This Row],[COTIZACION]]="", "", Octubre[[#This Row],[ARS]]/Octubre[[#This Row],[COTIZACION]])</f>
        <v/>
      </c>
      <c r="H51" s="10"/>
    </row>
    <row r="52" spans="2:8" ht="15.5" x14ac:dyDescent="0.35">
      <c r="B52" s="9"/>
      <c r="C52" s="9"/>
      <c r="D52" s="1"/>
      <c r="E52" s="9"/>
      <c r="F52" s="10"/>
      <c r="G52" s="10" t="str">
        <f>IF(Octubre[[#This Row],[COTIZACION]]="", "", Octubre[[#This Row],[ARS]]/Octubre[[#This Row],[COTIZACION]])</f>
        <v/>
      </c>
      <c r="H52" s="10"/>
    </row>
    <row r="53" spans="2:8" ht="15.5" x14ac:dyDescent="0.35">
      <c r="B53" s="9"/>
      <c r="C53" s="9"/>
      <c r="D53" s="1"/>
      <c r="E53" s="9"/>
      <c r="F53" s="10"/>
      <c r="G53" s="10" t="str">
        <f>IF(Octubre[[#This Row],[COTIZACION]]="", "", Octubre[[#This Row],[ARS]]/Octubre[[#This Row],[COTIZACION]])</f>
        <v/>
      </c>
      <c r="H53" s="10"/>
    </row>
    <row r="54" spans="2:8" ht="15.5" x14ac:dyDescent="0.35">
      <c r="B54" s="9"/>
      <c r="C54" s="9"/>
      <c r="D54" s="1"/>
      <c r="E54" s="9"/>
      <c r="F54" s="10"/>
      <c r="G54" s="10" t="str">
        <f>IF(Octubre[[#This Row],[COTIZACION]]="", "", Octubre[[#This Row],[ARS]]/Octubre[[#This Row],[COTIZACION]])</f>
        <v/>
      </c>
      <c r="H54" s="10"/>
    </row>
    <row r="55" spans="2:8" ht="15.5" x14ac:dyDescent="0.35">
      <c r="B55" s="9"/>
      <c r="C55" s="9"/>
      <c r="D55" s="1"/>
      <c r="E55" s="9"/>
      <c r="F55" s="10"/>
      <c r="G55" s="10" t="str">
        <f>IF(Octubre[[#This Row],[COTIZACION]]="", "", Octubre[[#This Row],[ARS]]/Octubre[[#This Row],[COTIZACION]])</f>
        <v/>
      </c>
      <c r="H55" s="10"/>
    </row>
    <row r="56" spans="2:8" ht="15.5" x14ac:dyDescent="0.35">
      <c r="B56" s="9"/>
      <c r="C56" s="9"/>
      <c r="D56" s="1"/>
      <c r="E56" s="9"/>
      <c r="F56" s="10"/>
      <c r="G56" s="10" t="str">
        <f>IF(Octubre[[#This Row],[COTIZACION]]="", "", Octubre[[#This Row],[ARS]]/Octubre[[#This Row],[COTIZACION]])</f>
        <v/>
      </c>
      <c r="H56" s="10"/>
    </row>
    <row r="57" spans="2:8" ht="15.5" x14ac:dyDescent="0.35">
      <c r="B57" s="9"/>
      <c r="C57" s="9"/>
      <c r="D57" s="1"/>
      <c r="E57" s="9"/>
      <c r="F57" s="10"/>
      <c r="G57" s="10" t="str">
        <f>IF(Octubre[[#This Row],[COTIZACION]]="", "", Octubre[[#This Row],[ARS]]/Octubre[[#This Row],[COTIZACION]])</f>
        <v/>
      </c>
      <c r="H57" s="10"/>
    </row>
    <row r="58" spans="2:8" ht="15.5" x14ac:dyDescent="0.35">
      <c r="B58" s="9"/>
      <c r="C58" s="9"/>
      <c r="D58" s="1"/>
      <c r="E58" s="9"/>
      <c r="F58" s="10"/>
      <c r="G58" s="10" t="str">
        <f>IF(Octubre[[#This Row],[COTIZACION]]="", "", Octubre[[#This Row],[ARS]]/Octubre[[#This Row],[COTIZACION]])</f>
        <v/>
      </c>
      <c r="H58" s="10"/>
    </row>
    <row r="59" spans="2:8" ht="15.5" x14ac:dyDescent="0.35">
      <c r="B59" s="9"/>
      <c r="C59" s="9"/>
      <c r="D59" s="1"/>
      <c r="E59" s="9"/>
      <c r="F59" s="10"/>
      <c r="G59" s="10" t="str">
        <f>IF(Octubre[[#This Row],[COTIZACION]]="", "", Octubre[[#This Row],[ARS]]/Octubre[[#This Row],[COTIZACION]])</f>
        <v/>
      </c>
      <c r="H59" s="10"/>
    </row>
    <row r="60" spans="2:8" ht="15.5" x14ac:dyDescent="0.35">
      <c r="B60" s="9"/>
      <c r="C60" s="9"/>
      <c r="D60" s="1"/>
      <c r="E60" s="9"/>
      <c r="F60" s="10"/>
      <c r="G60" s="10" t="str">
        <f>IF(Octubre[[#This Row],[COTIZACION]]="", "", Octubre[[#This Row],[ARS]]/Octubre[[#This Row],[COTIZACION]])</f>
        <v/>
      </c>
      <c r="H60" s="10"/>
    </row>
    <row r="61" spans="2:8" ht="15.5" x14ac:dyDescent="0.35">
      <c r="B61" s="9"/>
      <c r="C61" s="9"/>
      <c r="D61" s="1"/>
      <c r="E61" s="9"/>
      <c r="F61" s="10"/>
      <c r="G61" s="10" t="str">
        <f>IF(Octubre[[#This Row],[COTIZACION]]="", "", Octubre[[#This Row],[ARS]]/Octubre[[#This Row],[COTIZACION]])</f>
        <v/>
      </c>
      <c r="H61" s="10"/>
    </row>
    <row r="62" spans="2:8" ht="15.5" x14ac:dyDescent="0.35">
      <c r="B62" s="9"/>
      <c r="C62" s="9"/>
      <c r="D62" s="1"/>
      <c r="E62" s="9"/>
      <c r="F62" s="10"/>
      <c r="G62" s="10" t="str">
        <f>IF(Octubre[[#This Row],[COTIZACION]]="", "", Octubre[[#This Row],[ARS]]/Octubre[[#This Row],[COTIZACION]])</f>
        <v/>
      </c>
      <c r="H62" s="10"/>
    </row>
    <row r="63" spans="2:8" ht="15.5" x14ac:dyDescent="0.35">
      <c r="B63" s="9"/>
      <c r="C63" s="9"/>
      <c r="D63" s="1"/>
      <c r="E63" s="9"/>
      <c r="F63" s="10"/>
      <c r="G63" s="10" t="str">
        <f>IF(Octubre[[#This Row],[COTIZACION]]="", "", Octubre[[#This Row],[ARS]]/Octubre[[#This Row],[COTIZACION]])</f>
        <v/>
      </c>
      <c r="H63" s="10"/>
    </row>
    <row r="64" spans="2:8" ht="15.5" x14ac:dyDescent="0.35">
      <c r="B64" s="9"/>
      <c r="C64" s="9"/>
      <c r="D64" s="1"/>
      <c r="E64" s="9"/>
      <c r="F64" s="10"/>
      <c r="G64" s="10" t="str">
        <f>IF(Octubre[[#This Row],[COTIZACION]]="", "", Octubre[[#This Row],[ARS]]/Octubre[[#This Row],[COTIZACION]])</f>
        <v/>
      </c>
      <c r="H64" s="10"/>
    </row>
    <row r="65" spans="2:8" ht="15.5" x14ac:dyDescent="0.35">
      <c r="B65" s="9"/>
      <c r="C65" s="9"/>
      <c r="D65" s="1"/>
      <c r="E65" s="9"/>
      <c r="F65" s="10"/>
      <c r="G65" s="10" t="str">
        <f>IF(Octubre[[#This Row],[COTIZACION]]="", "", Octubre[[#This Row],[ARS]]/Octubre[[#This Row],[COTIZACION]])</f>
        <v/>
      </c>
      <c r="H65" s="10"/>
    </row>
    <row r="66" spans="2:8" ht="15.5" x14ac:dyDescent="0.35">
      <c r="B66" s="9"/>
      <c r="C66" s="9"/>
      <c r="D66" s="1"/>
      <c r="E66" s="9"/>
      <c r="F66" s="10"/>
      <c r="G66" s="10" t="str">
        <f>IF(Octubre[[#This Row],[COTIZACION]]="", "", Octubre[[#This Row],[ARS]]/Octubre[[#This Row],[COTIZACION]])</f>
        <v/>
      </c>
      <c r="H66" s="10"/>
    </row>
    <row r="67" spans="2:8" ht="15.5" x14ac:dyDescent="0.35">
      <c r="B67" s="9"/>
      <c r="C67" s="9"/>
      <c r="D67" s="1"/>
      <c r="E67" s="9"/>
      <c r="F67" s="10"/>
      <c r="G67" s="10" t="str">
        <f>IF(Octubre[[#This Row],[COTIZACION]]="", "", Octubre[[#This Row],[ARS]]/Octubre[[#This Row],[COTIZACION]])</f>
        <v/>
      </c>
      <c r="H67" s="10"/>
    </row>
    <row r="68" spans="2:8" ht="15.5" x14ac:dyDescent="0.35">
      <c r="B68" s="9"/>
      <c r="C68" s="9"/>
      <c r="D68" s="1"/>
      <c r="E68" s="9"/>
      <c r="F68" s="10"/>
      <c r="G68" s="10" t="str">
        <f>IF(Octubre[[#This Row],[COTIZACION]]="", "", Octubre[[#This Row],[ARS]]/Octubre[[#This Row],[COTIZACION]])</f>
        <v/>
      </c>
      <c r="H68" s="10"/>
    </row>
    <row r="69" spans="2:8" ht="15.5" x14ac:dyDescent="0.35">
      <c r="B69" s="9"/>
      <c r="C69" s="9"/>
      <c r="D69" s="1"/>
      <c r="E69" s="9"/>
      <c r="F69" s="10"/>
      <c r="G69" s="10" t="str">
        <f>IF(Octubre[[#This Row],[COTIZACION]]="", "", Octubre[[#This Row],[ARS]]/Octubre[[#This Row],[COTIZACION]])</f>
        <v/>
      </c>
      <c r="H69" s="10"/>
    </row>
    <row r="70" spans="2:8" ht="15.5" x14ac:dyDescent="0.35">
      <c r="B70" s="9"/>
      <c r="C70" s="9"/>
      <c r="D70" s="1"/>
      <c r="E70" s="9"/>
      <c r="F70" s="10"/>
      <c r="G70" s="10" t="str">
        <f>IF(Octubre[[#This Row],[COTIZACION]]="", "", Octubre[[#This Row],[ARS]]/Octubre[[#This Row],[COTIZACION]])</f>
        <v/>
      </c>
      <c r="H70" s="10"/>
    </row>
    <row r="71" spans="2:8" ht="15.5" x14ac:dyDescent="0.35">
      <c r="B71" s="9"/>
      <c r="C71" s="9"/>
      <c r="D71" s="1"/>
      <c r="E71" s="9"/>
      <c r="F71" s="10"/>
      <c r="G71" s="10" t="str">
        <f>IF(Octubre[[#This Row],[COTIZACION]]="", "", Octubre[[#This Row],[ARS]]/Octubre[[#This Row],[COTIZACION]])</f>
        <v/>
      </c>
      <c r="H71" s="10"/>
    </row>
    <row r="72" spans="2:8" ht="15.5" x14ac:dyDescent="0.35">
      <c r="B72" s="9"/>
      <c r="C72" s="9"/>
      <c r="D72" s="1"/>
      <c r="E72" s="9"/>
      <c r="F72" s="10"/>
      <c r="G72" s="10" t="str">
        <f>IF(Octubre[[#This Row],[COTIZACION]]="", "", Octubre[[#This Row],[ARS]]/Octubre[[#This Row],[COTIZACION]])</f>
        <v/>
      </c>
      <c r="H72" s="10"/>
    </row>
    <row r="73" spans="2:8" ht="15.5" x14ac:dyDescent="0.35">
      <c r="B73" s="9"/>
      <c r="C73" s="9"/>
      <c r="D73" s="1"/>
      <c r="E73" s="9"/>
      <c r="F73" s="10"/>
      <c r="G73" s="10" t="str">
        <f>IF(Octubre[[#This Row],[COTIZACION]]="", "", Octubre[[#This Row],[ARS]]/Octubre[[#This Row],[COTIZACION]])</f>
        <v/>
      </c>
      <c r="H73" s="10"/>
    </row>
    <row r="74" spans="2:8" ht="15.5" x14ac:dyDescent="0.35">
      <c r="B74" s="9"/>
      <c r="C74" s="9"/>
      <c r="D74" s="1"/>
      <c r="E74" s="9"/>
      <c r="F74" s="10"/>
      <c r="G74" s="10" t="str">
        <f>IF(Octubre[[#This Row],[COTIZACION]]="", "", Octubre[[#This Row],[ARS]]/Octubre[[#This Row],[COTIZACION]])</f>
        <v/>
      </c>
      <c r="H74" s="10"/>
    </row>
    <row r="75" spans="2:8" ht="15.5" x14ac:dyDescent="0.35">
      <c r="B75" s="9"/>
      <c r="C75" s="9"/>
      <c r="D75" s="1"/>
      <c r="E75" s="9"/>
      <c r="F75" s="10"/>
      <c r="G75" s="10" t="str">
        <f>IF(Octubre[[#This Row],[COTIZACION]]="", "", Octubre[[#This Row],[ARS]]/Octubre[[#This Row],[COTIZACION]])</f>
        <v/>
      </c>
      <c r="H75" s="10"/>
    </row>
    <row r="76" spans="2:8" ht="15.5" x14ac:dyDescent="0.35">
      <c r="B76" s="9"/>
      <c r="C76" s="9"/>
      <c r="D76" s="1"/>
      <c r="E76" s="9"/>
      <c r="F76" s="10"/>
      <c r="G76" s="10" t="str">
        <f>IF(Octubre[[#This Row],[COTIZACION]]="", "", Octubre[[#This Row],[ARS]]/Octubre[[#This Row],[COTIZACION]])</f>
        <v/>
      </c>
      <c r="H76" s="10"/>
    </row>
    <row r="77" spans="2:8" ht="15.5" x14ac:dyDescent="0.35">
      <c r="B77" s="9"/>
      <c r="C77" s="9"/>
      <c r="D77" s="1"/>
      <c r="E77" s="9"/>
      <c r="F77" s="10"/>
      <c r="G77" s="10" t="str">
        <f>IF(Octubre[[#This Row],[COTIZACION]]="", "", Octubre[[#This Row],[ARS]]/Octubre[[#This Row],[COTIZACION]])</f>
        <v/>
      </c>
      <c r="H77" s="10"/>
    </row>
    <row r="78" spans="2:8" ht="15.5" x14ac:dyDescent="0.35">
      <c r="B78" s="9"/>
      <c r="C78" s="9"/>
      <c r="D78" s="1"/>
      <c r="E78" s="9"/>
      <c r="F78" s="10"/>
      <c r="G78" s="10" t="str">
        <f>IF(Octubre[[#This Row],[COTIZACION]]="", "", Octubre[[#This Row],[ARS]]/Octubre[[#This Row],[COTIZACION]])</f>
        <v/>
      </c>
      <c r="H78" s="10"/>
    </row>
    <row r="79" spans="2:8" ht="15.5" x14ac:dyDescent="0.35">
      <c r="B79" s="9"/>
      <c r="C79" s="9"/>
      <c r="D79" s="1"/>
      <c r="E79" s="9"/>
      <c r="F79" s="10"/>
      <c r="G79" s="10" t="str">
        <f>IF(Octubre[[#This Row],[COTIZACION]]="", "", Octubre[[#This Row],[ARS]]/Octubre[[#This Row],[COTIZACION]])</f>
        <v/>
      </c>
      <c r="H79" s="10"/>
    </row>
    <row r="80" spans="2:8" ht="15.5" x14ac:dyDescent="0.35">
      <c r="B80" s="9"/>
      <c r="C80" s="9"/>
      <c r="D80" s="1"/>
      <c r="E80" s="9"/>
      <c r="F80" s="10"/>
      <c r="G80" s="10" t="str">
        <f>IF(Octubre[[#This Row],[COTIZACION]]="", "", Octubre[[#This Row],[ARS]]/Octubre[[#This Row],[COTIZACION]])</f>
        <v/>
      </c>
      <c r="H80" s="10"/>
    </row>
    <row r="81" spans="2:8" ht="15.5" x14ac:dyDescent="0.35">
      <c r="B81" s="9"/>
      <c r="C81" s="9"/>
      <c r="D81" s="1"/>
      <c r="E81" s="9"/>
      <c r="F81" s="10"/>
      <c r="G81" s="10" t="str">
        <f>IF(Octubre[[#This Row],[COTIZACION]]="", "", Octubre[[#This Row],[ARS]]/Octubre[[#This Row],[COTIZACION]])</f>
        <v/>
      </c>
      <c r="H81" s="10"/>
    </row>
    <row r="82" spans="2:8" ht="15.5" x14ac:dyDescent="0.35">
      <c r="B82" s="9"/>
      <c r="C82" s="9"/>
      <c r="D82" s="1"/>
      <c r="E82" s="9"/>
      <c r="F82" s="10"/>
      <c r="G82" s="10" t="str">
        <f>IF(Octubre[[#This Row],[COTIZACION]]="", "", Octubre[[#This Row],[ARS]]/Octubre[[#This Row],[COTIZACION]])</f>
        <v/>
      </c>
      <c r="H82" s="10"/>
    </row>
    <row r="83" spans="2:8" ht="15.5" x14ac:dyDescent="0.35">
      <c r="B83" s="9"/>
      <c r="C83" s="9"/>
      <c r="D83" s="1"/>
      <c r="E83" s="9"/>
      <c r="F83" s="10"/>
      <c r="G83" s="10" t="str">
        <f>IF(Octubre[[#This Row],[COTIZACION]]="", "", Octubre[[#This Row],[ARS]]/Octubre[[#This Row],[COTIZACION]])</f>
        <v/>
      </c>
      <c r="H83" s="10"/>
    </row>
    <row r="84" spans="2:8" ht="15.5" x14ac:dyDescent="0.35">
      <c r="B84" s="9"/>
      <c r="C84" s="9"/>
      <c r="D84" s="1"/>
      <c r="E84" s="9"/>
      <c r="F84" s="10"/>
      <c r="G84" s="10" t="str">
        <f>IF(Octubre[[#This Row],[COTIZACION]]="", "", Octubre[[#This Row],[ARS]]/Octubre[[#This Row],[COTIZACION]])</f>
        <v/>
      </c>
      <c r="H84" s="10"/>
    </row>
    <row r="85" spans="2:8" ht="15.5" x14ac:dyDescent="0.35">
      <c r="B85" s="9"/>
      <c r="C85" s="9"/>
      <c r="D85" s="1"/>
      <c r="E85" s="9"/>
      <c r="F85" s="10"/>
      <c r="G85" s="10" t="str">
        <f>IF(Octubre[[#This Row],[COTIZACION]]="", "", Octubre[[#This Row],[ARS]]/Octubre[[#This Row],[COTIZACION]])</f>
        <v/>
      </c>
      <c r="H85" s="10"/>
    </row>
    <row r="86" spans="2:8" ht="15.5" x14ac:dyDescent="0.35">
      <c r="B86" s="9"/>
      <c r="C86" s="9"/>
      <c r="D86" s="1"/>
      <c r="E86" s="9"/>
      <c r="F86" s="10"/>
      <c r="G86" s="10" t="str">
        <f>IF(Octubre[[#This Row],[COTIZACION]]="", "", Octubre[[#This Row],[ARS]]/Octubre[[#This Row],[COTIZACION]])</f>
        <v/>
      </c>
      <c r="H86" s="10"/>
    </row>
    <row r="87" spans="2:8" ht="15.5" x14ac:dyDescent="0.35">
      <c r="B87" s="9"/>
      <c r="C87" s="9"/>
      <c r="D87" s="1"/>
      <c r="E87" s="9"/>
      <c r="F87" s="10"/>
      <c r="G87" s="10" t="str">
        <f>IF(Octubre[[#This Row],[COTIZACION]]="", "", Octubre[[#This Row],[ARS]]/Octubre[[#This Row],[COTIZACION]])</f>
        <v/>
      </c>
      <c r="H87" s="10"/>
    </row>
    <row r="88" spans="2:8" ht="15.5" x14ac:dyDescent="0.35">
      <c r="B88" s="9"/>
      <c r="C88" s="9"/>
      <c r="D88" s="1"/>
      <c r="E88" s="9"/>
      <c r="F88" s="10"/>
      <c r="G88" s="10" t="str">
        <f>IF(Octubre[[#This Row],[COTIZACION]]="", "", Octubre[[#This Row],[ARS]]/Octubre[[#This Row],[COTIZACION]])</f>
        <v/>
      </c>
      <c r="H88" s="10"/>
    </row>
    <row r="89" spans="2:8" ht="15.5" x14ac:dyDescent="0.35">
      <c r="B89" s="9"/>
      <c r="C89" s="9"/>
      <c r="D89" s="1"/>
      <c r="E89" s="9"/>
      <c r="F89" s="10"/>
      <c r="G89" s="10" t="str">
        <f>IF(Octubre[[#This Row],[COTIZACION]]="", "", Octubre[[#This Row],[ARS]]/Octubre[[#This Row],[COTIZACION]])</f>
        <v/>
      </c>
      <c r="H89" s="10"/>
    </row>
    <row r="90" spans="2:8" ht="15.5" x14ac:dyDescent="0.35">
      <c r="B90" s="9"/>
      <c r="C90" s="9"/>
      <c r="D90" s="1"/>
      <c r="E90" s="9"/>
      <c r="F90" s="10"/>
      <c r="G90" s="10" t="str">
        <f>IF(Octubre[[#This Row],[COTIZACION]]="", "", Octubre[[#This Row],[ARS]]/Octubre[[#This Row],[COTIZACION]])</f>
        <v/>
      </c>
      <c r="H90" s="10"/>
    </row>
    <row r="91" spans="2:8" ht="15.5" x14ac:dyDescent="0.35">
      <c r="B91" s="9"/>
      <c r="C91" s="9"/>
      <c r="D91" s="1"/>
      <c r="E91" s="9"/>
      <c r="F91" s="10"/>
      <c r="G91" s="10" t="str">
        <f>IF(Octubre[[#This Row],[COTIZACION]]="", "", Octubre[[#This Row],[ARS]]/Octubre[[#This Row],[COTIZACION]])</f>
        <v/>
      </c>
      <c r="H91" s="10"/>
    </row>
    <row r="92" spans="2:8" ht="15.5" x14ac:dyDescent="0.35">
      <c r="B92" s="9"/>
      <c r="C92" s="9"/>
      <c r="D92" s="1"/>
      <c r="E92" s="9"/>
      <c r="F92" s="10"/>
      <c r="G92" s="10" t="str">
        <f>IF(Octubre[[#This Row],[COTIZACION]]="", "", Octubre[[#This Row],[ARS]]/Octubre[[#This Row],[COTIZACION]])</f>
        <v/>
      </c>
      <c r="H92" s="10"/>
    </row>
    <row r="93" spans="2:8" ht="15.5" x14ac:dyDescent="0.35">
      <c r="B93" s="9"/>
      <c r="C93" s="9"/>
      <c r="D93" s="1"/>
      <c r="E93" s="9"/>
      <c r="F93" s="10"/>
      <c r="G93" s="10" t="str">
        <f>IF(Octubre[[#This Row],[COTIZACION]]="", "", Octubre[[#This Row],[ARS]]/Octubre[[#This Row],[COTIZACION]])</f>
        <v/>
      </c>
      <c r="H93" s="10"/>
    </row>
    <row r="94" spans="2:8" ht="15.5" x14ac:dyDescent="0.35">
      <c r="B94" s="35"/>
      <c r="C94" s="35"/>
      <c r="D94" s="36"/>
      <c r="E94" s="35"/>
      <c r="F94" s="37"/>
      <c r="G94" s="37" t="str">
        <f>IF(Octubre[[#This Row],[COTIZACION]]="", "", Octubre[[#This Row],[ARS]]/Octubre[[#This Row],[COTIZACION]])</f>
        <v/>
      </c>
      <c r="H94" s="37"/>
    </row>
  </sheetData>
  <mergeCells count="1">
    <mergeCell ref="F1:H1"/>
  </mergeCells>
  <phoneticPr fontId="3" type="noConversion"/>
  <dataValidations count="2">
    <dataValidation type="list" allowBlank="1" showInputMessage="1" showErrorMessage="1" sqref="B6:B94" xr:uid="{00000000-0002-0000-0D00-000000000000}">
      <formula1>Categorías</formula1>
    </dataValidation>
    <dataValidation type="list" allowBlank="1" showInputMessage="1" showErrorMessage="1" sqref="C6:C94" xr:uid="{00000000-0002-0000-0D00-000001000000}">
      <formula1>INDIRECT($B6)</formula1>
    </dataValidation>
  </dataValidations>
  <pageMargins left="0.7" right="0.7" top="0.75" bottom="0.75" header="0.3" footer="0.3"/>
  <pageSetup paperSize="9" orientation="portrait" r:id="rId1"/>
  <ignoredErrors>
    <ignoredError sqref="H3:H4" unlockedFormula="1"/>
  </ignoredErrors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L94"/>
  <sheetViews>
    <sheetView showGridLines="0" zoomScale="112" zoomScaleNormal="112" workbookViewId="0">
      <pane ySplit="5" topLeftCell="A6" activePane="bottomLeft" state="frozen"/>
      <selection pane="bottomLeft" activeCell="F6" sqref="F6"/>
    </sheetView>
  </sheetViews>
  <sheetFormatPr defaultColWidth="9.08984375" defaultRowHeight="14.5" x14ac:dyDescent="0.35"/>
  <cols>
    <col min="1" max="1" width="5.54296875" customWidth="1"/>
    <col min="2" max="2" width="23.08984375" customWidth="1"/>
    <col min="3" max="3" width="26.54296875" customWidth="1"/>
    <col min="4" max="4" width="12.6328125" style="2" customWidth="1"/>
    <col min="5" max="5" width="37" customWidth="1"/>
    <col min="6" max="8" width="17.36328125" style="3" customWidth="1"/>
    <col min="9" max="10" width="9.08984375" customWidth="1"/>
    <col min="11" max="11" width="9.08984375" style="2" customWidth="1"/>
    <col min="12" max="12" width="16.54296875" bestFit="1" customWidth="1"/>
    <col min="13" max="13" width="11.90625" bestFit="1" customWidth="1"/>
    <col min="14" max="14" width="15.54296875" bestFit="1" customWidth="1"/>
  </cols>
  <sheetData>
    <row r="1" spans="2:12" s="4" customFormat="1" ht="18.5" x14ac:dyDescent="0.45">
      <c r="B1" s="25" t="s">
        <v>34</v>
      </c>
      <c r="C1" s="25"/>
      <c r="D1" s="25"/>
      <c r="E1" s="25"/>
      <c r="F1" s="137" t="s">
        <v>26</v>
      </c>
      <c r="G1" s="137"/>
      <c r="H1" s="137"/>
      <c r="K1" s="5"/>
    </row>
    <row r="2" spans="2:12" s="6" customFormat="1" ht="15" customHeight="1" x14ac:dyDescent="0.35">
      <c r="B2" s="2"/>
      <c r="D2" s="8"/>
      <c r="E2" s="27" t="s">
        <v>59</v>
      </c>
      <c r="F2" s="28">
        <f>SUM(Noviembre[ARS])</f>
        <v>1259232</v>
      </c>
      <c r="G2" s="28">
        <f>SUM(Noviembre[USD])</f>
        <v>0</v>
      </c>
      <c r="H2" s="28"/>
      <c r="K2" s="8"/>
    </row>
    <row r="3" spans="2:12" s="6" customFormat="1" ht="15" customHeight="1" x14ac:dyDescent="0.35">
      <c r="B3" s="2"/>
      <c r="D3" s="8"/>
      <c r="E3" s="27" t="s">
        <v>65</v>
      </c>
      <c r="F3" s="29">
        <f>MAX(Noviembre[ARS])</f>
        <v>871632</v>
      </c>
      <c r="G3" s="29">
        <f>MAX(Noviembre[USD])</f>
        <v>0</v>
      </c>
      <c r="H3" s="29">
        <f>MAX(Noviembre[COTIZACION])</f>
        <v>0</v>
      </c>
      <c r="K3" s="8"/>
    </row>
    <row r="4" spans="2:12" s="6" customFormat="1" ht="15" customHeight="1" x14ac:dyDescent="0.35">
      <c r="B4" s="2"/>
      <c r="D4" s="8"/>
      <c r="E4" s="27" t="s">
        <v>66</v>
      </c>
      <c r="F4" s="29">
        <f>MIN(Noviembre[ARS])</f>
        <v>387600</v>
      </c>
      <c r="G4" s="29">
        <f>MIN(Noviembre[USD])</f>
        <v>0</v>
      </c>
      <c r="H4" s="29">
        <f>MIN(Noviembre[COTIZACION])</f>
        <v>0</v>
      </c>
      <c r="K4" s="8"/>
    </row>
    <row r="5" spans="2:12" s="33" customFormat="1" ht="15.5" x14ac:dyDescent="0.35">
      <c r="B5" s="30" t="s">
        <v>35</v>
      </c>
      <c r="C5" s="30" t="s">
        <v>36</v>
      </c>
      <c r="D5" s="30" t="s">
        <v>37</v>
      </c>
      <c r="E5" s="30" t="s">
        <v>13</v>
      </c>
      <c r="F5" s="30" t="s">
        <v>64</v>
      </c>
      <c r="G5" s="30" t="s">
        <v>63</v>
      </c>
      <c r="H5" s="30" t="s">
        <v>62</v>
      </c>
      <c r="I5" s="32"/>
      <c r="K5" s="34"/>
      <c r="L5" s="11"/>
    </row>
    <row r="6" spans="2:12" ht="15.5" x14ac:dyDescent="0.35">
      <c r="B6" s="9" t="s">
        <v>14</v>
      </c>
      <c r="C6" s="9" t="s">
        <v>72</v>
      </c>
      <c r="D6" s="1"/>
      <c r="E6" s="9" t="s">
        <v>72</v>
      </c>
      <c r="F6" s="10">
        <v>871632</v>
      </c>
      <c r="G6" s="10" t="str">
        <f>IF(Noviembre[[#This Row],[COTIZACION]]="", "", Noviembre[[#This Row],[ARS]]/Noviembre[[#This Row],[COTIZACION]])</f>
        <v/>
      </c>
      <c r="H6" s="10"/>
    </row>
    <row r="7" spans="2:12" ht="15.5" x14ac:dyDescent="0.35">
      <c r="B7" s="9" t="s">
        <v>0</v>
      </c>
      <c r="C7" s="9" t="s">
        <v>88</v>
      </c>
      <c r="D7" s="1"/>
      <c r="E7" s="9" t="s">
        <v>216</v>
      </c>
      <c r="F7" s="10">
        <v>387600</v>
      </c>
      <c r="G7" s="10" t="str">
        <f>IF(Noviembre[[#This Row],[COTIZACION]]="", "", Noviembre[[#This Row],[ARS]]/Noviembre[[#This Row],[COTIZACION]])</f>
        <v/>
      </c>
      <c r="H7" s="10"/>
    </row>
    <row r="8" spans="2:12" ht="15.5" x14ac:dyDescent="0.35">
      <c r="B8" s="9"/>
      <c r="C8" s="9"/>
      <c r="D8" s="1"/>
      <c r="E8" s="9"/>
      <c r="F8" s="10"/>
      <c r="G8" s="10" t="str">
        <f>IF(Noviembre[[#This Row],[COTIZACION]]="", "", Noviembre[[#This Row],[ARS]]/Noviembre[[#This Row],[COTIZACION]])</f>
        <v/>
      </c>
      <c r="H8" s="98"/>
    </row>
    <row r="9" spans="2:12" ht="15.75" customHeight="1" x14ac:dyDescent="0.35">
      <c r="B9" s="9"/>
      <c r="C9" s="9"/>
      <c r="D9" s="1"/>
      <c r="E9" s="9"/>
      <c r="F9" s="10"/>
      <c r="G9" s="10" t="str">
        <f>IF(Noviembre[[#This Row],[COTIZACION]]="", "", Noviembre[[#This Row],[ARS]]/Noviembre[[#This Row],[COTIZACION]])</f>
        <v/>
      </c>
      <c r="H9" s="10"/>
    </row>
    <row r="10" spans="2:12" ht="15.5" x14ac:dyDescent="0.35">
      <c r="B10" s="9"/>
      <c r="C10" s="9"/>
      <c r="D10" s="9"/>
      <c r="E10" s="9"/>
      <c r="F10" s="10"/>
      <c r="G10" s="10" t="str">
        <f>IF(Noviembre[[#This Row],[COTIZACION]]="", "", Noviembre[[#This Row],[ARS]]/Noviembre[[#This Row],[COTIZACION]])</f>
        <v/>
      </c>
      <c r="H10" s="10"/>
    </row>
    <row r="11" spans="2:12" ht="15.5" x14ac:dyDescent="0.35">
      <c r="B11" s="9"/>
      <c r="C11" s="9"/>
      <c r="D11" s="1"/>
      <c r="E11" s="9"/>
      <c r="F11" s="10"/>
      <c r="G11" s="10" t="str">
        <f>IF(Noviembre[[#This Row],[COTIZACION]]="", "", Noviembre[[#This Row],[ARS]]/Noviembre[[#This Row],[COTIZACION]])</f>
        <v/>
      </c>
      <c r="H11" s="10"/>
    </row>
    <row r="12" spans="2:12" ht="15.5" x14ac:dyDescent="0.35">
      <c r="B12" s="96"/>
      <c r="C12" s="96"/>
      <c r="D12" s="100"/>
      <c r="E12" s="9"/>
      <c r="F12" s="10"/>
      <c r="G12" s="10" t="str">
        <f>IF(Noviembre[[#This Row],[COTIZACION]]="", "", Noviembre[[#This Row],[ARS]]/Noviembre[[#This Row],[COTIZACION]])</f>
        <v/>
      </c>
      <c r="H12" s="10"/>
    </row>
    <row r="13" spans="2:12" ht="15.5" x14ac:dyDescent="0.35">
      <c r="B13" s="9"/>
      <c r="C13" s="9"/>
      <c r="D13" s="1"/>
      <c r="E13" s="9"/>
      <c r="F13" s="10"/>
      <c r="G13" s="10" t="str">
        <f>IF(Noviembre[[#This Row],[COTIZACION]]="", "", Noviembre[[#This Row],[ARS]]/Noviembre[[#This Row],[COTIZACION]])</f>
        <v/>
      </c>
      <c r="H13" s="10"/>
    </row>
    <row r="14" spans="2:12" ht="15.5" x14ac:dyDescent="0.35">
      <c r="B14" s="9"/>
      <c r="C14" s="9"/>
      <c r="D14" s="1"/>
      <c r="E14" s="9"/>
      <c r="F14" s="10"/>
      <c r="G14" s="10" t="str">
        <f>IF(Noviembre[[#This Row],[COTIZACION]]="", "", Noviembre[[#This Row],[ARS]]/Noviembre[[#This Row],[COTIZACION]])</f>
        <v/>
      </c>
      <c r="H14" s="10"/>
    </row>
    <row r="15" spans="2:12" ht="15.5" x14ac:dyDescent="0.35">
      <c r="B15" s="9"/>
      <c r="C15" s="9"/>
      <c r="D15" s="1"/>
      <c r="E15" s="9"/>
      <c r="F15" s="10"/>
      <c r="G15" s="10" t="str">
        <f>IF(Noviembre[[#This Row],[COTIZACION]]="", "", Noviembre[[#This Row],[ARS]]/Noviembre[[#This Row],[COTIZACION]])</f>
        <v/>
      </c>
      <c r="H15" s="10"/>
    </row>
    <row r="16" spans="2:12" ht="15.5" x14ac:dyDescent="0.35">
      <c r="B16" s="9"/>
      <c r="C16" s="9"/>
      <c r="D16" s="1"/>
      <c r="E16" s="9"/>
      <c r="F16" s="10"/>
      <c r="G16" s="10" t="str">
        <f>IF(Noviembre[[#This Row],[COTIZACION]]="", "", Noviembre[[#This Row],[ARS]]/Noviembre[[#This Row],[COTIZACION]])</f>
        <v/>
      </c>
      <c r="H16" s="10"/>
    </row>
    <row r="17" spans="2:8" ht="15.5" x14ac:dyDescent="0.35">
      <c r="B17" s="9"/>
      <c r="C17" s="9"/>
      <c r="D17" s="1"/>
      <c r="E17" s="9"/>
      <c r="F17" s="10"/>
      <c r="G17" s="10" t="str">
        <f>IF(Noviembre[[#This Row],[COTIZACION]]="", "", Noviembre[[#This Row],[ARS]]/Noviembre[[#This Row],[COTIZACION]])</f>
        <v/>
      </c>
      <c r="H17" s="10"/>
    </row>
    <row r="18" spans="2:8" ht="15.5" x14ac:dyDescent="0.35">
      <c r="B18" s="9"/>
      <c r="C18" s="9"/>
      <c r="D18" s="1"/>
      <c r="E18" s="9"/>
      <c r="F18" s="10"/>
      <c r="G18" s="10" t="str">
        <f>IF(Noviembre[[#This Row],[COTIZACION]]="", "", Noviembre[[#This Row],[ARS]]/Noviembre[[#This Row],[COTIZACION]])</f>
        <v/>
      </c>
      <c r="H18" s="10"/>
    </row>
    <row r="19" spans="2:8" ht="15.5" x14ac:dyDescent="0.35">
      <c r="B19" s="9"/>
      <c r="C19" s="9"/>
      <c r="D19" s="1"/>
      <c r="E19" s="9"/>
      <c r="F19" s="10"/>
      <c r="G19" s="10" t="str">
        <f>IF(Noviembre[[#This Row],[COTIZACION]]="", "", Noviembre[[#This Row],[ARS]]/Noviembre[[#This Row],[COTIZACION]])</f>
        <v/>
      </c>
      <c r="H19" s="10"/>
    </row>
    <row r="20" spans="2:8" ht="15.5" x14ac:dyDescent="0.35">
      <c r="B20" s="9"/>
      <c r="C20" s="9"/>
      <c r="D20" s="1"/>
      <c r="E20" s="9"/>
      <c r="F20" s="10"/>
      <c r="G20" s="10" t="str">
        <f>IF(Noviembre[[#This Row],[COTIZACION]]="", "", Noviembre[[#This Row],[ARS]]/Noviembre[[#This Row],[COTIZACION]])</f>
        <v/>
      </c>
      <c r="H20" s="10"/>
    </row>
    <row r="21" spans="2:8" ht="15.5" x14ac:dyDescent="0.35">
      <c r="B21" s="9"/>
      <c r="C21" s="9"/>
      <c r="D21" s="1"/>
      <c r="E21" s="9"/>
      <c r="F21" s="10"/>
      <c r="G21" s="10" t="str">
        <f>IF(Noviembre[[#This Row],[COTIZACION]]="", "", Noviembre[[#This Row],[ARS]]/Noviembre[[#This Row],[COTIZACION]])</f>
        <v/>
      </c>
      <c r="H21" s="10"/>
    </row>
    <row r="22" spans="2:8" ht="15.5" x14ac:dyDescent="0.35">
      <c r="B22" s="9"/>
      <c r="C22" s="9"/>
      <c r="D22" s="1"/>
      <c r="E22" s="9"/>
      <c r="F22" s="10"/>
      <c r="G22" s="10" t="str">
        <f>IF(Noviembre[[#This Row],[COTIZACION]]="", "", Noviembre[[#This Row],[ARS]]/Noviembre[[#This Row],[COTIZACION]])</f>
        <v/>
      </c>
      <c r="H22" s="10"/>
    </row>
    <row r="23" spans="2:8" ht="15.5" x14ac:dyDescent="0.35">
      <c r="B23" s="9"/>
      <c r="C23" s="9"/>
      <c r="D23" s="1"/>
      <c r="E23" s="9"/>
      <c r="F23" s="10"/>
      <c r="G23" s="10" t="str">
        <f>IF(Noviembre[[#This Row],[COTIZACION]]="", "", Noviembre[[#This Row],[ARS]]/Noviembre[[#This Row],[COTIZACION]])</f>
        <v/>
      </c>
      <c r="H23" s="10"/>
    </row>
    <row r="24" spans="2:8" ht="15.5" x14ac:dyDescent="0.35">
      <c r="B24" s="9"/>
      <c r="C24" s="9"/>
      <c r="D24" s="1"/>
      <c r="E24" s="9"/>
      <c r="F24" s="10"/>
      <c r="G24" s="10" t="str">
        <f>IF(Noviembre[[#This Row],[COTIZACION]]="", "", Noviembre[[#This Row],[ARS]]/Noviembre[[#This Row],[COTIZACION]])</f>
        <v/>
      </c>
      <c r="H24" s="10"/>
    </row>
    <row r="25" spans="2:8" ht="15.5" x14ac:dyDescent="0.35">
      <c r="B25" s="9"/>
      <c r="C25" s="9"/>
      <c r="D25" s="1"/>
      <c r="E25" s="9"/>
      <c r="F25" s="10"/>
      <c r="G25" s="10" t="str">
        <f>IF(Noviembre[[#This Row],[COTIZACION]]="", "", Noviembre[[#This Row],[ARS]]/Noviembre[[#This Row],[COTIZACION]])</f>
        <v/>
      </c>
      <c r="H25" s="10"/>
    </row>
    <row r="26" spans="2:8" ht="15.5" x14ac:dyDescent="0.35">
      <c r="B26" s="9"/>
      <c r="C26" s="9"/>
      <c r="D26" s="1"/>
      <c r="E26" s="9"/>
      <c r="F26" s="10"/>
      <c r="G26" s="10" t="str">
        <f>IF(Noviembre[[#This Row],[COTIZACION]]="", "", Noviembre[[#This Row],[ARS]]/Noviembre[[#This Row],[COTIZACION]])</f>
        <v/>
      </c>
      <c r="H26" s="10"/>
    </row>
    <row r="27" spans="2:8" ht="15.5" x14ac:dyDescent="0.35">
      <c r="B27" s="9"/>
      <c r="C27" s="9"/>
      <c r="D27" s="1"/>
      <c r="E27" s="9"/>
      <c r="F27" s="10"/>
      <c r="G27" s="10" t="str">
        <f>IF(Noviembre[[#This Row],[COTIZACION]]="", "", Noviembre[[#This Row],[ARS]]/Noviembre[[#This Row],[COTIZACION]])</f>
        <v/>
      </c>
      <c r="H27" s="10"/>
    </row>
    <row r="28" spans="2:8" ht="15.5" x14ac:dyDescent="0.35">
      <c r="B28" s="9"/>
      <c r="C28" s="9"/>
      <c r="D28" s="1"/>
      <c r="E28" s="9"/>
      <c r="F28" s="10"/>
      <c r="G28" s="10" t="str">
        <f>IF(Noviembre[[#This Row],[COTIZACION]]="", "", Noviembre[[#This Row],[ARS]]/Noviembre[[#This Row],[COTIZACION]])</f>
        <v/>
      </c>
      <c r="H28" s="10"/>
    </row>
    <row r="29" spans="2:8" ht="15.5" x14ac:dyDescent="0.35">
      <c r="B29" s="9"/>
      <c r="C29" s="9"/>
      <c r="D29" s="1"/>
      <c r="E29" s="9"/>
      <c r="F29" s="10"/>
      <c r="G29" s="10" t="str">
        <f>IF(Noviembre[[#This Row],[COTIZACION]]="", "", Noviembre[[#This Row],[ARS]]/Noviembre[[#This Row],[COTIZACION]])</f>
        <v/>
      </c>
      <c r="H29" s="10"/>
    </row>
    <row r="30" spans="2:8" ht="15.5" x14ac:dyDescent="0.35">
      <c r="B30" s="9"/>
      <c r="C30" s="9"/>
      <c r="D30" s="1"/>
      <c r="E30" s="9"/>
      <c r="F30" s="10"/>
      <c r="G30" s="10" t="str">
        <f>IF(Noviembre[[#This Row],[COTIZACION]]="", "", Noviembre[[#This Row],[ARS]]/Noviembre[[#This Row],[COTIZACION]])</f>
        <v/>
      </c>
      <c r="H30" s="10"/>
    </row>
    <row r="31" spans="2:8" ht="15.5" x14ac:dyDescent="0.35">
      <c r="B31" s="9"/>
      <c r="C31" s="9"/>
      <c r="D31" s="1"/>
      <c r="E31" s="9"/>
      <c r="F31" s="10"/>
      <c r="G31" s="10" t="str">
        <f>IF(Noviembre[[#This Row],[COTIZACION]]="", "", Noviembre[[#This Row],[ARS]]/Noviembre[[#This Row],[COTIZACION]])</f>
        <v/>
      </c>
      <c r="H31" s="10"/>
    </row>
    <row r="32" spans="2:8" ht="15.5" x14ac:dyDescent="0.35">
      <c r="B32" s="9"/>
      <c r="C32" s="9"/>
      <c r="D32" s="1"/>
      <c r="E32" s="9"/>
      <c r="F32" s="10"/>
      <c r="G32" s="10" t="str">
        <f>IF(Noviembre[[#This Row],[COTIZACION]]="", "", Noviembre[[#This Row],[ARS]]/Noviembre[[#This Row],[COTIZACION]])</f>
        <v/>
      </c>
      <c r="H32" s="10"/>
    </row>
    <row r="33" spans="2:8" ht="15.5" x14ac:dyDescent="0.35">
      <c r="B33" s="9"/>
      <c r="C33" s="9"/>
      <c r="D33" s="1"/>
      <c r="E33" s="9"/>
      <c r="F33" s="10"/>
      <c r="G33" s="10" t="str">
        <f>IF(Noviembre[[#This Row],[COTIZACION]]="", "", Noviembre[[#This Row],[ARS]]/Noviembre[[#This Row],[COTIZACION]])</f>
        <v/>
      </c>
      <c r="H33" s="10"/>
    </row>
    <row r="34" spans="2:8" ht="15.5" x14ac:dyDescent="0.35">
      <c r="B34" s="9"/>
      <c r="C34" s="9"/>
      <c r="D34" s="1"/>
      <c r="E34" s="9"/>
      <c r="F34" s="10"/>
      <c r="G34" s="10" t="str">
        <f>IF(Noviembre[[#This Row],[COTIZACION]]="", "", Noviembre[[#This Row],[ARS]]/Noviembre[[#This Row],[COTIZACION]])</f>
        <v/>
      </c>
      <c r="H34" s="10"/>
    </row>
    <row r="35" spans="2:8" ht="15.5" x14ac:dyDescent="0.35">
      <c r="B35" s="9"/>
      <c r="C35" s="9"/>
      <c r="D35" s="1"/>
      <c r="E35" s="9"/>
      <c r="F35" s="10"/>
      <c r="G35" s="10" t="str">
        <f>IF(Noviembre[[#This Row],[COTIZACION]]="", "", Noviembre[[#This Row],[ARS]]/Noviembre[[#This Row],[COTIZACION]])</f>
        <v/>
      </c>
      <c r="H35" s="10"/>
    </row>
    <row r="36" spans="2:8" ht="15.5" x14ac:dyDescent="0.35">
      <c r="B36" s="9"/>
      <c r="C36" s="9"/>
      <c r="D36" s="1"/>
      <c r="E36" s="9"/>
      <c r="F36" s="10"/>
      <c r="G36" s="10" t="str">
        <f>IF(Noviembre[[#This Row],[COTIZACION]]="", "", Noviembre[[#This Row],[ARS]]/Noviembre[[#This Row],[COTIZACION]])</f>
        <v/>
      </c>
      <c r="H36" s="10"/>
    </row>
    <row r="37" spans="2:8" ht="15.5" x14ac:dyDescent="0.35">
      <c r="B37" s="9"/>
      <c r="C37" s="9"/>
      <c r="D37" s="1"/>
      <c r="E37" s="9"/>
      <c r="F37" s="10"/>
      <c r="G37" s="10" t="str">
        <f>IF(Noviembre[[#This Row],[COTIZACION]]="", "", Noviembre[[#This Row],[ARS]]/Noviembre[[#This Row],[COTIZACION]])</f>
        <v/>
      </c>
      <c r="H37" s="10"/>
    </row>
    <row r="38" spans="2:8" ht="15.5" x14ac:dyDescent="0.35">
      <c r="B38" s="9"/>
      <c r="C38" s="9"/>
      <c r="D38" s="1"/>
      <c r="E38" s="9"/>
      <c r="F38" s="10"/>
      <c r="G38" s="10" t="str">
        <f>IF(Noviembre[[#This Row],[COTIZACION]]="", "", Noviembre[[#This Row],[ARS]]/Noviembre[[#This Row],[COTIZACION]])</f>
        <v/>
      </c>
      <c r="H38" s="10"/>
    </row>
    <row r="39" spans="2:8" ht="15.5" x14ac:dyDescent="0.35">
      <c r="B39" s="9"/>
      <c r="C39" s="9"/>
      <c r="D39" s="1"/>
      <c r="E39" s="9"/>
      <c r="F39" s="10"/>
      <c r="G39" s="10" t="str">
        <f>IF(Noviembre[[#This Row],[COTIZACION]]="", "", Noviembre[[#This Row],[ARS]]/Noviembre[[#This Row],[COTIZACION]])</f>
        <v/>
      </c>
      <c r="H39" s="10"/>
    </row>
    <row r="40" spans="2:8" ht="15.5" x14ac:dyDescent="0.35">
      <c r="B40" s="9"/>
      <c r="C40" s="9"/>
      <c r="D40" s="1"/>
      <c r="E40" s="9"/>
      <c r="F40" s="10"/>
      <c r="G40" s="10" t="str">
        <f>IF(Noviembre[[#This Row],[COTIZACION]]="", "", Noviembre[[#This Row],[ARS]]/Noviembre[[#This Row],[COTIZACION]])</f>
        <v/>
      </c>
      <c r="H40" s="10"/>
    </row>
    <row r="41" spans="2:8" ht="15.5" x14ac:dyDescent="0.35">
      <c r="B41" s="9"/>
      <c r="C41" s="9"/>
      <c r="D41" s="1"/>
      <c r="E41" s="9"/>
      <c r="F41" s="10"/>
      <c r="G41" s="10" t="str">
        <f>IF(Noviembre[[#This Row],[COTIZACION]]="", "", Noviembre[[#This Row],[ARS]]/Noviembre[[#This Row],[COTIZACION]])</f>
        <v/>
      </c>
      <c r="H41" s="10"/>
    </row>
    <row r="42" spans="2:8" ht="15.5" x14ac:dyDescent="0.35">
      <c r="B42" s="9"/>
      <c r="C42" s="9"/>
      <c r="D42" s="1"/>
      <c r="E42" s="9"/>
      <c r="F42" s="10"/>
      <c r="G42" s="10" t="str">
        <f>IF(Noviembre[[#This Row],[COTIZACION]]="", "", Noviembre[[#This Row],[ARS]]/Noviembre[[#This Row],[COTIZACION]])</f>
        <v/>
      </c>
      <c r="H42" s="10"/>
    </row>
    <row r="43" spans="2:8" ht="15.5" x14ac:dyDescent="0.35">
      <c r="B43" s="9"/>
      <c r="C43" s="9"/>
      <c r="D43" s="1"/>
      <c r="E43" s="9"/>
      <c r="F43" s="10"/>
      <c r="G43" s="10" t="str">
        <f>IF(Noviembre[[#This Row],[COTIZACION]]="", "", Noviembre[[#This Row],[ARS]]/Noviembre[[#This Row],[COTIZACION]])</f>
        <v/>
      </c>
      <c r="H43" s="10"/>
    </row>
    <row r="44" spans="2:8" ht="15.5" x14ac:dyDescent="0.35">
      <c r="B44" s="9"/>
      <c r="C44" s="9"/>
      <c r="D44" s="1"/>
      <c r="E44" s="9"/>
      <c r="F44" s="10"/>
      <c r="G44" s="10" t="str">
        <f>IF(Noviembre[[#This Row],[COTIZACION]]="", "", Noviembre[[#This Row],[ARS]]/Noviembre[[#This Row],[COTIZACION]])</f>
        <v/>
      </c>
      <c r="H44" s="10"/>
    </row>
    <row r="45" spans="2:8" ht="15.5" x14ac:dyDescent="0.35">
      <c r="B45" s="9"/>
      <c r="C45" s="9"/>
      <c r="D45" s="1"/>
      <c r="E45" s="9"/>
      <c r="F45" s="10"/>
      <c r="G45" s="10" t="str">
        <f>IF(Noviembre[[#This Row],[COTIZACION]]="", "", Noviembre[[#This Row],[ARS]]/Noviembre[[#This Row],[COTIZACION]])</f>
        <v/>
      </c>
      <c r="H45" s="10"/>
    </row>
    <row r="46" spans="2:8" ht="15.5" x14ac:dyDescent="0.35">
      <c r="B46" s="9"/>
      <c r="C46" s="9"/>
      <c r="D46" s="1"/>
      <c r="E46" s="9"/>
      <c r="F46" s="10"/>
      <c r="G46" s="10" t="str">
        <f>IF(Noviembre[[#This Row],[COTIZACION]]="", "", Noviembre[[#This Row],[ARS]]/Noviembre[[#This Row],[COTIZACION]])</f>
        <v/>
      </c>
      <c r="H46" s="10"/>
    </row>
    <row r="47" spans="2:8" ht="15.5" x14ac:dyDescent="0.35">
      <c r="B47" s="9"/>
      <c r="C47" s="9"/>
      <c r="D47" s="1"/>
      <c r="E47" s="9"/>
      <c r="F47" s="10"/>
      <c r="G47" s="10" t="str">
        <f>IF(Noviembre[[#This Row],[COTIZACION]]="", "", Noviembre[[#This Row],[ARS]]/Noviembre[[#This Row],[COTIZACION]])</f>
        <v/>
      </c>
      <c r="H47" s="10"/>
    </row>
    <row r="48" spans="2:8" ht="15.5" x14ac:dyDescent="0.35">
      <c r="B48" s="9"/>
      <c r="C48" s="9"/>
      <c r="D48" s="1"/>
      <c r="E48" s="9"/>
      <c r="F48" s="10"/>
      <c r="G48" s="10" t="str">
        <f>IF(Noviembre[[#This Row],[COTIZACION]]="", "", Noviembre[[#This Row],[ARS]]/Noviembre[[#This Row],[COTIZACION]])</f>
        <v/>
      </c>
      <c r="H48" s="10"/>
    </row>
    <row r="49" spans="2:8" ht="15.5" x14ac:dyDescent="0.35">
      <c r="B49" s="9"/>
      <c r="C49" s="9"/>
      <c r="D49" s="1"/>
      <c r="E49" s="9"/>
      <c r="F49" s="10"/>
      <c r="G49" s="10" t="str">
        <f>IF(Noviembre[[#This Row],[COTIZACION]]="", "", Noviembre[[#This Row],[ARS]]/Noviembre[[#This Row],[COTIZACION]])</f>
        <v/>
      </c>
      <c r="H49" s="10"/>
    </row>
    <row r="50" spans="2:8" ht="15.5" x14ac:dyDescent="0.35">
      <c r="B50" s="9"/>
      <c r="C50" s="9"/>
      <c r="D50" s="1"/>
      <c r="E50" s="9"/>
      <c r="F50" s="10"/>
      <c r="G50" s="10" t="str">
        <f>IF(Noviembre[[#This Row],[COTIZACION]]="", "", Noviembre[[#This Row],[ARS]]/Noviembre[[#This Row],[COTIZACION]])</f>
        <v/>
      </c>
      <c r="H50" s="10"/>
    </row>
    <row r="51" spans="2:8" ht="15.5" x14ac:dyDescent="0.35">
      <c r="B51" s="9"/>
      <c r="C51" s="9"/>
      <c r="D51" s="1"/>
      <c r="E51" s="9"/>
      <c r="F51" s="10"/>
      <c r="G51" s="10" t="str">
        <f>IF(Noviembre[[#This Row],[COTIZACION]]="", "", Noviembre[[#This Row],[ARS]]/Noviembre[[#This Row],[COTIZACION]])</f>
        <v/>
      </c>
      <c r="H51" s="10"/>
    </row>
    <row r="52" spans="2:8" ht="15.5" x14ac:dyDescent="0.35">
      <c r="B52" s="9"/>
      <c r="C52" s="9"/>
      <c r="D52" s="1"/>
      <c r="E52" s="9"/>
      <c r="F52" s="10"/>
      <c r="G52" s="10" t="str">
        <f>IF(Noviembre[[#This Row],[COTIZACION]]="", "", Noviembre[[#This Row],[ARS]]/Noviembre[[#This Row],[COTIZACION]])</f>
        <v/>
      </c>
      <c r="H52" s="10"/>
    </row>
    <row r="53" spans="2:8" ht="15.5" x14ac:dyDescent="0.35">
      <c r="B53" s="9"/>
      <c r="C53" s="9"/>
      <c r="D53" s="1"/>
      <c r="E53" s="9"/>
      <c r="F53" s="10"/>
      <c r="G53" s="10" t="str">
        <f>IF(Noviembre[[#This Row],[COTIZACION]]="", "", Noviembre[[#This Row],[ARS]]/Noviembre[[#This Row],[COTIZACION]])</f>
        <v/>
      </c>
      <c r="H53" s="10"/>
    </row>
    <row r="54" spans="2:8" ht="15.5" x14ac:dyDescent="0.35">
      <c r="B54" s="9"/>
      <c r="C54" s="9"/>
      <c r="D54" s="1"/>
      <c r="E54" s="9"/>
      <c r="F54" s="10"/>
      <c r="G54" s="10" t="str">
        <f>IF(Noviembre[[#This Row],[COTIZACION]]="", "", Noviembre[[#This Row],[ARS]]/Noviembre[[#This Row],[COTIZACION]])</f>
        <v/>
      </c>
      <c r="H54" s="10"/>
    </row>
    <row r="55" spans="2:8" ht="15.5" x14ac:dyDescent="0.35">
      <c r="B55" s="9"/>
      <c r="C55" s="9"/>
      <c r="D55" s="1"/>
      <c r="E55" s="9"/>
      <c r="F55" s="10"/>
      <c r="G55" s="10" t="str">
        <f>IF(Noviembre[[#This Row],[COTIZACION]]="", "", Noviembre[[#This Row],[ARS]]/Noviembre[[#This Row],[COTIZACION]])</f>
        <v/>
      </c>
      <c r="H55" s="10"/>
    </row>
    <row r="56" spans="2:8" ht="15.5" x14ac:dyDescent="0.35">
      <c r="B56" s="9"/>
      <c r="C56" s="9"/>
      <c r="D56" s="1"/>
      <c r="E56" s="9"/>
      <c r="F56" s="10"/>
      <c r="G56" s="10" t="str">
        <f>IF(Noviembre[[#This Row],[COTIZACION]]="", "", Noviembre[[#This Row],[ARS]]/Noviembre[[#This Row],[COTIZACION]])</f>
        <v/>
      </c>
      <c r="H56" s="10"/>
    </row>
    <row r="57" spans="2:8" ht="15.5" x14ac:dyDescent="0.35">
      <c r="B57" s="9"/>
      <c r="C57" s="9"/>
      <c r="D57" s="1"/>
      <c r="E57" s="9"/>
      <c r="F57" s="10"/>
      <c r="G57" s="10" t="str">
        <f>IF(Noviembre[[#This Row],[COTIZACION]]="", "", Noviembre[[#This Row],[ARS]]/Noviembre[[#This Row],[COTIZACION]])</f>
        <v/>
      </c>
      <c r="H57" s="10"/>
    </row>
    <row r="58" spans="2:8" ht="15.5" x14ac:dyDescent="0.35">
      <c r="B58" s="9"/>
      <c r="C58" s="9"/>
      <c r="D58" s="1"/>
      <c r="E58" s="9"/>
      <c r="F58" s="10"/>
      <c r="G58" s="10" t="str">
        <f>IF(Noviembre[[#This Row],[COTIZACION]]="", "", Noviembre[[#This Row],[ARS]]/Noviembre[[#This Row],[COTIZACION]])</f>
        <v/>
      </c>
      <c r="H58" s="10"/>
    </row>
    <row r="59" spans="2:8" ht="15.5" x14ac:dyDescent="0.35">
      <c r="B59" s="9"/>
      <c r="C59" s="9"/>
      <c r="D59" s="1"/>
      <c r="E59" s="9"/>
      <c r="F59" s="10"/>
      <c r="G59" s="10" t="str">
        <f>IF(Noviembre[[#This Row],[COTIZACION]]="", "", Noviembre[[#This Row],[ARS]]/Noviembre[[#This Row],[COTIZACION]])</f>
        <v/>
      </c>
      <c r="H59" s="10"/>
    </row>
    <row r="60" spans="2:8" ht="15.5" x14ac:dyDescent="0.35">
      <c r="B60" s="9"/>
      <c r="C60" s="9"/>
      <c r="D60" s="1"/>
      <c r="E60" s="9"/>
      <c r="F60" s="10"/>
      <c r="G60" s="10" t="str">
        <f>IF(Noviembre[[#This Row],[COTIZACION]]="", "", Noviembre[[#This Row],[ARS]]/Noviembre[[#This Row],[COTIZACION]])</f>
        <v/>
      </c>
      <c r="H60" s="10"/>
    </row>
    <row r="61" spans="2:8" ht="15.5" x14ac:dyDescent="0.35">
      <c r="B61" s="9"/>
      <c r="C61" s="9"/>
      <c r="D61" s="1"/>
      <c r="E61" s="9"/>
      <c r="F61" s="10"/>
      <c r="G61" s="10" t="str">
        <f>IF(Noviembre[[#This Row],[COTIZACION]]="", "", Noviembre[[#This Row],[ARS]]/Noviembre[[#This Row],[COTIZACION]])</f>
        <v/>
      </c>
      <c r="H61" s="10"/>
    </row>
    <row r="62" spans="2:8" ht="15.5" x14ac:dyDescent="0.35">
      <c r="B62" s="9"/>
      <c r="C62" s="9"/>
      <c r="D62" s="1"/>
      <c r="E62" s="9"/>
      <c r="F62" s="10"/>
      <c r="G62" s="10" t="str">
        <f>IF(Noviembre[[#This Row],[COTIZACION]]="", "", Noviembre[[#This Row],[ARS]]/Noviembre[[#This Row],[COTIZACION]])</f>
        <v/>
      </c>
      <c r="H62" s="10"/>
    </row>
    <row r="63" spans="2:8" ht="15.5" x14ac:dyDescent="0.35">
      <c r="B63" s="9"/>
      <c r="C63" s="9"/>
      <c r="D63" s="1"/>
      <c r="E63" s="9"/>
      <c r="F63" s="10"/>
      <c r="G63" s="10" t="str">
        <f>IF(Noviembre[[#This Row],[COTIZACION]]="", "", Noviembre[[#This Row],[ARS]]/Noviembre[[#This Row],[COTIZACION]])</f>
        <v/>
      </c>
      <c r="H63" s="10"/>
    </row>
    <row r="64" spans="2:8" ht="15.5" x14ac:dyDescent="0.35">
      <c r="B64" s="9"/>
      <c r="C64" s="9"/>
      <c r="D64" s="1"/>
      <c r="E64" s="9"/>
      <c r="F64" s="10"/>
      <c r="G64" s="10" t="str">
        <f>IF(Noviembre[[#This Row],[COTIZACION]]="", "", Noviembre[[#This Row],[ARS]]/Noviembre[[#This Row],[COTIZACION]])</f>
        <v/>
      </c>
      <c r="H64" s="10"/>
    </row>
    <row r="65" spans="2:8" ht="15.5" x14ac:dyDescent="0.35">
      <c r="B65" s="9"/>
      <c r="C65" s="9"/>
      <c r="D65" s="1"/>
      <c r="E65" s="9"/>
      <c r="F65" s="10"/>
      <c r="G65" s="10" t="str">
        <f>IF(Noviembre[[#This Row],[COTIZACION]]="", "", Noviembre[[#This Row],[ARS]]/Noviembre[[#This Row],[COTIZACION]])</f>
        <v/>
      </c>
      <c r="H65" s="10"/>
    </row>
    <row r="66" spans="2:8" ht="15.5" x14ac:dyDescent="0.35">
      <c r="B66" s="9"/>
      <c r="C66" s="9"/>
      <c r="D66" s="1"/>
      <c r="E66" s="9"/>
      <c r="F66" s="10"/>
      <c r="G66" s="10" t="str">
        <f>IF(Noviembre[[#This Row],[COTIZACION]]="", "", Noviembre[[#This Row],[ARS]]/Noviembre[[#This Row],[COTIZACION]])</f>
        <v/>
      </c>
      <c r="H66" s="10"/>
    </row>
    <row r="67" spans="2:8" ht="15.5" x14ac:dyDescent="0.35">
      <c r="B67" s="9"/>
      <c r="C67" s="9"/>
      <c r="D67" s="1"/>
      <c r="E67" s="9"/>
      <c r="F67" s="10"/>
      <c r="G67" s="10" t="str">
        <f>IF(Noviembre[[#This Row],[COTIZACION]]="", "", Noviembre[[#This Row],[ARS]]/Noviembre[[#This Row],[COTIZACION]])</f>
        <v/>
      </c>
      <c r="H67" s="10"/>
    </row>
    <row r="68" spans="2:8" ht="15.5" x14ac:dyDescent="0.35">
      <c r="B68" s="9"/>
      <c r="C68" s="9"/>
      <c r="D68" s="1"/>
      <c r="E68" s="9"/>
      <c r="F68" s="10"/>
      <c r="G68" s="10" t="str">
        <f>IF(Noviembre[[#This Row],[COTIZACION]]="", "", Noviembre[[#This Row],[ARS]]/Noviembre[[#This Row],[COTIZACION]])</f>
        <v/>
      </c>
      <c r="H68" s="10"/>
    </row>
    <row r="69" spans="2:8" ht="15.5" x14ac:dyDescent="0.35">
      <c r="B69" s="9"/>
      <c r="C69" s="9"/>
      <c r="D69" s="1"/>
      <c r="E69" s="9"/>
      <c r="F69" s="10"/>
      <c r="G69" s="10" t="str">
        <f>IF(Noviembre[[#This Row],[COTIZACION]]="", "", Noviembre[[#This Row],[ARS]]/Noviembre[[#This Row],[COTIZACION]])</f>
        <v/>
      </c>
      <c r="H69" s="10"/>
    </row>
    <row r="70" spans="2:8" ht="15.5" x14ac:dyDescent="0.35">
      <c r="B70" s="9"/>
      <c r="C70" s="9"/>
      <c r="D70" s="1"/>
      <c r="E70" s="9"/>
      <c r="F70" s="10"/>
      <c r="G70" s="10" t="str">
        <f>IF(Noviembre[[#This Row],[COTIZACION]]="", "", Noviembre[[#This Row],[ARS]]/Noviembre[[#This Row],[COTIZACION]])</f>
        <v/>
      </c>
      <c r="H70" s="10"/>
    </row>
    <row r="71" spans="2:8" ht="15.5" x14ac:dyDescent="0.35">
      <c r="B71" s="9"/>
      <c r="C71" s="9"/>
      <c r="D71" s="1"/>
      <c r="E71" s="9"/>
      <c r="F71" s="10"/>
      <c r="G71" s="10" t="str">
        <f>IF(Noviembre[[#This Row],[COTIZACION]]="", "", Noviembre[[#This Row],[ARS]]/Noviembre[[#This Row],[COTIZACION]])</f>
        <v/>
      </c>
      <c r="H71" s="10"/>
    </row>
    <row r="72" spans="2:8" ht="15.5" x14ac:dyDescent="0.35">
      <c r="B72" s="9"/>
      <c r="C72" s="9"/>
      <c r="D72" s="1"/>
      <c r="E72" s="9"/>
      <c r="F72" s="10"/>
      <c r="G72" s="10" t="str">
        <f>IF(Noviembre[[#This Row],[COTIZACION]]="", "", Noviembre[[#This Row],[ARS]]/Noviembre[[#This Row],[COTIZACION]])</f>
        <v/>
      </c>
      <c r="H72" s="10"/>
    </row>
    <row r="73" spans="2:8" ht="15.5" x14ac:dyDescent="0.35">
      <c r="B73" s="9"/>
      <c r="C73" s="9"/>
      <c r="D73" s="1"/>
      <c r="E73" s="9"/>
      <c r="F73" s="10"/>
      <c r="G73" s="10" t="str">
        <f>IF(Noviembre[[#This Row],[COTIZACION]]="", "", Noviembre[[#This Row],[ARS]]/Noviembre[[#This Row],[COTIZACION]])</f>
        <v/>
      </c>
      <c r="H73" s="10"/>
    </row>
    <row r="74" spans="2:8" ht="15.5" x14ac:dyDescent="0.35">
      <c r="B74" s="9"/>
      <c r="C74" s="9"/>
      <c r="D74" s="1"/>
      <c r="E74" s="9"/>
      <c r="F74" s="10"/>
      <c r="G74" s="10" t="str">
        <f>IF(Noviembre[[#This Row],[COTIZACION]]="", "", Noviembre[[#This Row],[ARS]]/Noviembre[[#This Row],[COTIZACION]])</f>
        <v/>
      </c>
      <c r="H74" s="10"/>
    </row>
    <row r="75" spans="2:8" ht="15.5" x14ac:dyDescent="0.35">
      <c r="B75" s="9"/>
      <c r="C75" s="9"/>
      <c r="D75" s="1"/>
      <c r="E75" s="9"/>
      <c r="F75" s="10"/>
      <c r="G75" s="10" t="str">
        <f>IF(Noviembre[[#This Row],[COTIZACION]]="", "", Noviembre[[#This Row],[ARS]]/Noviembre[[#This Row],[COTIZACION]])</f>
        <v/>
      </c>
      <c r="H75" s="10"/>
    </row>
    <row r="76" spans="2:8" ht="15.5" x14ac:dyDescent="0.35">
      <c r="B76" s="9"/>
      <c r="C76" s="9"/>
      <c r="D76" s="1"/>
      <c r="E76" s="9"/>
      <c r="F76" s="10"/>
      <c r="G76" s="10" t="str">
        <f>IF(Noviembre[[#This Row],[COTIZACION]]="", "", Noviembre[[#This Row],[ARS]]/Noviembre[[#This Row],[COTIZACION]])</f>
        <v/>
      </c>
      <c r="H76" s="10"/>
    </row>
    <row r="77" spans="2:8" ht="15.5" x14ac:dyDescent="0.35">
      <c r="B77" s="9"/>
      <c r="C77" s="9"/>
      <c r="D77" s="1"/>
      <c r="E77" s="9"/>
      <c r="F77" s="10"/>
      <c r="G77" s="10" t="str">
        <f>IF(Noviembre[[#This Row],[COTIZACION]]="", "", Noviembre[[#This Row],[ARS]]/Noviembre[[#This Row],[COTIZACION]])</f>
        <v/>
      </c>
      <c r="H77" s="10"/>
    </row>
    <row r="78" spans="2:8" ht="15.5" x14ac:dyDescent="0.35">
      <c r="B78" s="9"/>
      <c r="C78" s="9"/>
      <c r="D78" s="1"/>
      <c r="E78" s="9"/>
      <c r="F78" s="10"/>
      <c r="G78" s="10" t="str">
        <f>IF(Noviembre[[#This Row],[COTIZACION]]="", "", Noviembre[[#This Row],[ARS]]/Noviembre[[#This Row],[COTIZACION]])</f>
        <v/>
      </c>
      <c r="H78" s="10"/>
    </row>
    <row r="79" spans="2:8" ht="15.5" x14ac:dyDescent="0.35">
      <c r="B79" s="9"/>
      <c r="C79" s="9"/>
      <c r="D79" s="1"/>
      <c r="E79" s="9"/>
      <c r="F79" s="10"/>
      <c r="G79" s="10" t="str">
        <f>IF(Noviembre[[#This Row],[COTIZACION]]="", "", Noviembre[[#This Row],[ARS]]/Noviembre[[#This Row],[COTIZACION]])</f>
        <v/>
      </c>
      <c r="H79" s="10"/>
    </row>
    <row r="80" spans="2:8" ht="15.5" x14ac:dyDescent="0.35">
      <c r="B80" s="9"/>
      <c r="C80" s="9"/>
      <c r="D80" s="1"/>
      <c r="E80" s="9"/>
      <c r="F80" s="10"/>
      <c r="G80" s="10" t="str">
        <f>IF(Noviembre[[#This Row],[COTIZACION]]="", "", Noviembre[[#This Row],[ARS]]/Noviembre[[#This Row],[COTIZACION]])</f>
        <v/>
      </c>
      <c r="H80" s="10"/>
    </row>
    <row r="81" spans="2:8" ht="15.5" x14ac:dyDescent="0.35">
      <c r="B81" s="9"/>
      <c r="C81" s="9"/>
      <c r="D81" s="1"/>
      <c r="E81" s="9"/>
      <c r="F81" s="10"/>
      <c r="G81" s="10" t="str">
        <f>IF(Noviembre[[#This Row],[COTIZACION]]="", "", Noviembre[[#This Row],[ARS]]/Noviembre[[#This Row],[COTIZACION]])</f>
        <v/>
      </c>
      <c r="H81" s="10"/>
    </row>
    <row r="82" spans="2:8" ht="15.5" x14ac:dyDescent="0.35">
      <c r="B82" s="9"/>
      <c r="C82" s="9"/>
      <c r="D82" s="1"/>
      <c r="E82" s="9"/>
      <c r="F82" s="10"/>
      <c r="G82" s="10" t="str">
        <f>IF(Noviembre[[#This Row],[COTIZACION]]="", "", Noviembre[[#This Row],[ARS]]/Noviembre[[#This Row],[COTIZACION]])</f>
        <v/>
      </c>
      <c r="H82" s="10"/>
    </row>
    <row r="83" spans="2:8" ht="15.5" x14ac:dyDescent="0.35">
      <c r="B83" s="9"/>
      <c r="C83" s="9"/>
      <c r="D83" s="1"/>
      <c r="E83" s="9"/>
      <c r="F83" s="10"/>
      <c r="G83" s="10" t="str">
        <f>IF(Noviembre[[#This Row],[COTIZACION]]="", "", Noviembre[[#This Row],[ARS]]/Noviembre[[#This Row],[COTIZACION]])</f>
        <v/>
      </c>
      <c r="H83" s="10"/>
    </row>
    <row r="84" spans="2:8" ht="15.5" x14ac:dyDescent="0.35">
      <c r="B84" s="9"/>
      <c r="C84" s="9"/>
      <c r="D84" s="1"/>
      <c r="E84" s="9"/>
      <c r="F84" s="10"/>
      <c r="G84" s="10" t="str">
        <f>IF(Noviembre[[#This Row],[COTIZACION]]="", "", Noviembre[[#This Row],[ARS]]/Noviembre[[#This Row],[COTIZACION]])</f>
        <v/>
      </c>
      <c r="H84" s="10"/>
    </row>
    <row r="85" spans="2:8" ht="15.5" x14ac:dyDescent="0.35">
      <c r="B85" s="9"/>
      <c r="C85" s="9"/>
      <c r="D85" s="1"/>
      <c r="E85" s="9"/>
      <c r="F85" s="10"/>
      <c r="G85" s="10" t="str">
        <f>IF(Noviembre[[#This Row],[COTIZACION]]="", "", Noviembre[[#This Row],[ARS]]/Noviembre[[#This Row],[COTIZACION]])</f>
        <v/>
      </c>
      <c r="H85" s="10"/>
    </row>
    <row r="86" spans="2:8" ht="15.5" x14ac:dyDescent="0.35">
      <c r="B86" s="9"/>
      <c r="C86" s="9"/>
      <c r="D86" s="1"/>
      <c r="E86" s="9"/>
      <c r="F86" s="10"/>
      <c r="G86" s="10" t="str">
        <f>IF(Noviembre[[#This Row],[COTIZACION]]="", "", Noviembre[[#This Row],[ARS]]/Noviembre[[#This Row],[COTIZACION]])</f>
        <v/>
      </c>
      <c r="H86" s="10"/>
    </row>
    <row r="87" spans="2:8" ht="15.5" x14ac:dyDescent="0.35">
      <c r="B87" s="9"/>
      <c r="C87" s="9"/>
      <c r="D87" s="1"/>
      <c r="E87" s="9"/>
      <c r="F87" s="10"/>
      <c r="G87" s="10" t="str">
        <f>IF(Noviembre[[#This Row],[COTIZACION]]="", "", Noviembre[[#This Row],[ARS]]/Noviembre[[#This Row],[COTIZACION]])</f>
        <v/>
      </c>
      <c r="H87" s="10"/>
    </row>
    <row r="88" spans="2:8" ht="15.5" x14ac:dyDescent="0.35">
      <c r="B88" s="9"/>
      <c r="C88" s="9"/>
      <c r="D88" s="1"/>
      <c r="E88" s="9"/>
      <c r="F88" s="10"/>
      <c r="G88" s="10" t="str">
        <f>IF(Noviembre[[#This Row],[COTIZACION]]="", "", Noviembre[[#This Row],[ARS]]/Noviembre[[#This Row],[COTIZACION]])</f>
        <v/>
      </c>
      <c r="H88" s="10"/>
    </row>
    <row r="89" spans="2:8" ht="15.5" x14ac:dyDescent="0.35">
      <c r="B89" s="9"/>
      <c r="C89" s="9"/>
      <c r="D89" s="1"/>
      <c r="E89" s="9"/>
      <c r="F89" s="10"/>
      <c r="G89" s="10" t="str">
        <f>IF(Noviembre[[#This Row],[COTIZACION]]="", "", Noviembre[[#This Row],[ARS]]/Noviembre[[#This Row],[COTIZACION]])</f>
        <v/>
      </c>
      <c r="H89" s="10"/>
    </row>
    <row r="90" spans="2:8" ht="15.5" x14ac:dyDescent="0.35">
      <c r="B90" s="9"/>
      <c r="C90" s="9"/>
      <c r="D90" s="1"/>
      <c r="E90" s="9"/>
      <c r="F90" s="10"/>
      <c r="G90" s="10" t="str">
        <f>IF(Noviembre[[#This Row],[COTIZACION]]="", "", Noviembre[[#This Row],[ARS]]/Noviembre[[#This Row],[COTIZACION]])</f>
        <v/>
      </c>
      <c r="H90" s="10"/>
    </row>
    <row r="91" spans="2:8" ht="15.5" x14ac:dyDescent="0.35">
      <c r="B91" s="9"/>
      <c r="C91" s="9"/>
      <c r="D91" s="1"/>
      <c r="E91" s="9"/>
      <c r="F91" s="10"/>
      <c r="G91" s="10" t="str">
        <f>IF(Noviembre[[#This Row],[COTIZACION]]="", "", Noviembre[[#This Row],[ARS]]/Noviembre[[#This Row],[COTIZACION]])</f>
        <v/>
      </c>
      <c r="H91" s="10"/>
    </row>
    <row r="92" spans="2:8" ht="15.5" x14ac:dyDescent="0.35">
      <c r="B92" s="9"/>
      <c r="C92" s="9"/>
      <c r="D92" s="1"/>
      <c r="E92" s="9"/>
      <c r="F92" s="10"/>
      <c r="G92" s="10" t="str">
        <f>IF(Noviembre[[#This Row],[COTIZACION]]="", "", Noviembre[[#This Row],[ARS]]/Noviembre[[#This Row],[COTIZACION]])</f>
        <v/>
      </c>
      <c r="H92" s="10"/>
    </row>
    <row r="93" spans="2:8" ht="15.5" x14ac:dyDescent="0.35">
      <c r="B93" s="9"/>
      <c r="C93" s="9"/>
      <c r="D93" s="1"/>
      <c r="E93" s="9"/>
      <c r="F93" s="10"/>
      <c r="G93" s="10" t="str">
        <f>IF(Noviembre[[#This Row],[COTIZACION]]="", "", Noviembre[[#This Row],[ARS]]/Noviembre[[#This Row],[COTIZACION]])</f>
        <v/>
      </c>
      <c r="H93" s="10"/>
    </row>
    <row r="94" spans="2:8" ht="15.5" x14ac:dyDescent="0.35">
      <c r="B94" s="35"/>
      <c r="C94" s="35"/>
      <c r="D94" s="36"/>
      <c r="E94" s="35"/>
      <c r="F94" s="37"/>
      <c r="G94" s="37" t="str">
        <f>IF(Noviembre[[#This Row],[COTIZACION]]="", "", Noviembre[[#This Row],[ARS]]/Noviembre[[#This Row],[COTIZACION]])</f>
        <v/>
      </c>
      <c r="H94" s="37"/>
    </row>
  </sheetData>
  <mergeCells count="1">
    <mergeCell ref="F1:H1"/>
  </mergeCells>
  <phoneticPr fontId="3" type="noConversion"/>
  <dataValidations count="2">
    <dataValidation type="list" allowBlank="1" showInputMessage="1" showErrorMessage="1" sqref="B6:B94" xr:uid="{00000000-0002-0000-0E00-000000000000}">
      <formula1>Categorías</formula1>
    </dataValidation>
    <dataValidation type="list" allowBlank="1" showInputMessage="1" showErrorMessage="1" sqref="C6:C94" xr:uid="{00000000-0002-0000-0E00-000001000000}">
      <formula1>INDIRECT($B6)</formula1>
    </dataValidation>
  </dataValidations>
  <pageMargins left="0.7" right="0.7" top="0.75" bottom="0.75" header="0.3" footer="0.3"/>
  <pageSetup paperSize="9" orientation="portrait" r:id="rId1"/>
  <ignoredErrors>
    <ignoredError sqref="H3:H4" unlockedFormula="1"/>
  </ignoredErrors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L95"/>
  <sheetViews>
    <sheetView showGridLines="0" tabSelected="1" topLeftCell="C1" zoomScale="112" zoomScaleNormal="112" workbookViewId="0">
      <pane ySplit="5" topLeftCell="A6" activePane="bottomLeft" state="frozen"/>
      <selection pane="bottomLeft" activeCell="E10" sqref="E10"/>
    </sheetView>
  </sheetViews>
  <sheetFormatPr defaultColWidth="9.08984375" defaultRowHeight="14.5" x14ac:dyDescent="0.35"/>
  <cols>
    <col min="1" max="1" width="5.54296875" customWidth="1"/>
    <col min="2" max="2" width="23.08984375" customWidth="1"/>
    <col min="3" max="3" width="26.54296875" customWidth="1"/>
    <col min="4" max="4" width="12.6328125" style="2" customWidth="1"/>
    <col min="5" max="5" width="37" customWidth="1"/>
    <col min="6" max="8" width="17.36328125" style="3" customWidth="1"/>
    <col min="9" max="10" width="9.08984375" customWidth="1"/>
    <col min="11" max="11" width="9.08984375" style="2" customWidth="1"/>
    <col min="12" max="12" width="16.54296875" bestFit="1" customWidth="1"/>
    <col min="13" max="13" width="11.90625" bestFit="1" customWidth="1"/>
    <col min="14" max="14" width="15.54296875" bestFit="1" customWidth="1"/>
  </cols>
  <sheetData>
    <row r="1" spans="2:12" s="4" customFormat="1" ht="18.5" x14ac:dyDescent="0.45">
      <c r="B1" s="25" t="s">
        <v>34</v>
      </c>
      <c r="C1" s="25"/>
      <c r="D1" s="25"/>
      <c r="E1" s="25"/>
      <c r="F1" s="137" t="s">
        <v>19</v>
      </c>
      <c r="G1" s="137"/>
      <c r="H1" s="137"/>
      <c r="K1" s="5"/>
    </row>
    <row r="2" spans="2:12" s="6" customFormat="1" ht="15" customHeight="1" x14ac:dyDescent="0.35">
      <c r="B2" s="2"/>
      <c r="D2" s="8"/>
      <c r="E2" s="27" t="s">
        <v>59</v>
      </c>
      <c r="F2" s="28">
        <f>SUM(Diciembre[ARS])</f>
        <v>1396232</v>
      </c>
      <c r="G2" s="28">
        <f>SUM(Diciembre[USD])</f>
        <v>1121.4714859437752</v>
      </c>
      <c r="H2" s="28"/>
      <c r="K2" s="8"/>
    </row>
    <row r="3" spans="2:12" s="6" customFormat="1" ht="15" customHeight="1" x14ac:dyDescent="0.35">
      <c r="B3" s="2"/>
      <c r="D3" s="8"/>
      <c r="E3" s="27" t="s">
        <v>65</v>
      </c>
      <c r="F3" s="29">
        <f>MAX(Diciembre[ARS])</f>
        <v>876632</v>
      </c>
      <c r="G3" s="29">
        <f>MAX(Diciembre[USD])</f>
        <v>704.12208835341369</v>
      </c>
      <c r="H3" s="29">
        <f>MAX(Diciembre[COTIZACION])</f>
        <v>1245</v>
      </c>
      <c r="K3" s="8"/>
    </row>
    <row r="4" spans="2:12" s="6" customFormat="1" ht="15" customHeight="1" x14ac:dyDescent="0.35">
      <c r="B4" s="2"/>
      <c r="D4" s="8"/>
      <c r="E4" s="27" t="s">
        <v>66</v>
      </c>
      <c r="F4" s="29">
        <f>MIN(Diciembre[ARS])</f>
        <v>20000</v>
      </c>
      <c r="G4" s="29">
        <f>MIN(Diciembre[USD])</f>
        <v>16.064257028112451</v>
      </c>
      <c r="H4" s="29">
        <f>MIN(Diciembre[COTIZACION])</f>
        <v>1245</v>
      </c>
      <c r="K4" s="8"/>
    </row>
    <row r="5" spans="2:12" s="33" customFormat="1" ht="15.5" x14ac:dyDescent="0.35">
      <c r="B5" s="30" t="s">
        <v>35</v>
      </c>
      <c r="C5" s="30" t="s">
        <v>36</v>
      </c>
      <c r="D5" s="30" t="s">
        <v>37</v>
      </c>
      <c r="E5" s="30" t="s">
        <v>13</v>
      </c>
      <c r="F5" s="30" t="s">
        <v>64</v>
      </c>
      <c r="G5" s="30" t="s">
        <v>63</v>
      </c>
      <c r="H5" s="30" t="s">
        <v>62</v>
      </c>
      <c r="I5" s="32"/>
      <c r="K5" s="34"/>
      <c r="L5" s="11"/>
    </row>
    <row r="6" spans="2:12" ht="15.5" x14ac:dyDescent="0.35">
      <c r="B6" s="9" t="s">
        <v>14</v>
      </c>
      <c r="C6" s="9" t="s">
        <v>72</v>
      </c>
      <c r="D6" s="1">
        <v>45759</v>
      </c>
      <c r="E6" s="9" t="s">
        <v>72</v>
      </c>
      <c r="F6" s="10">
        <v>876632</v>
      </c>
      <c r="G6" s="10">
        <f>IF(Diciembre[[#This Row],[COTIZACION]]="", "", Diciembre[[#This Row],[ARS]]/Diciembre[[#This Row],[COTIZACION]])</f>
        <v>704.12208835341369</v>
      </c>
      <c r="H6" s="10">
        <v>1245</v>
      </c>
    </row>
    <row r="7" spans="2:12" ht="15.5" x14ac:dyDescent="0.35">
      <c r="B7" s="9" t="s">
        <v>0</v>
      </c>
      <c r="C7" s="9" t="s">
        <v>88</v>
      </c>
      <c r="D7" s="1">
        <v>45759</v>
      </c>
      <c r="E7" s="9" t="s">
        <v>217</v>
      </c>
      <c r="F7" s="10">
        <v>387600</v>
      </c>
      <c r="G7" s="10">
        <f>IF(Diciembre[[#This Row],[COTIZACION]]="", "", Diciembre[[#This Row],[ARS]]/Diciembre[[#This Row],[COTIZACION]])</f>
        <v>311.32530120481925</v>
      </c>
      <c r="H7" s="10">
        <v>1245</v>
      </c>
    </row>
    <row r="8" spans="2:12" ht="15.5" x14ac:dyDescent="0.35">
      <c r="B8" s="9" t="s">
        <v>14</v>
      </c>
      <c r="C8" s="9" t="s">
        <v>33</v>
      </c>
      <c r="D8" s="1">
        <v>45759</v>
      </c>
      <c r="E8" s="9" t="s">
        <v>79</v>
      </c>
      <c r="F8" s="10">
        <v>20000</v>
      </c>
      <c r="G8" s="10">
        <f>IF(Diciembre[[#This Row],[COTIZACION]]="", "", Diciembre[[#This Row],[ARS]]/Diciembre[[#This Row],[COTIZACION]])</f>
        <v>16.064257028112451</v>
      </c>
      <c r="H8" s="10">
        <v>1245</v>
      </c>
    </row>
    <row r="9" spans="2:12" ht="15.5" x14ac:dyDescent="0.35">
      <c r="B9" s="9" t="s">
        <v>14</v>
      </c>
      <c r="C9" s="9" t="s">
        <v>76</v>
      </c>
      <c r="D9" s="1">
        <v>45942</v>
      </c>
      <c r="E9" s="9" t="s">
        <v>239</v>
      </c>
      <c r="F9" s="10">
        <v>112000</v>
      </c>
      <c r="G9" s="10">
        <f>IF(Diciembre[[#This Row],[COTIZACION]]="", "", Diciembre[[#This Row],[ARS]]/Diciembre[[#This Row],[COTIZACION]])</f>
        <v>89.959839357429715</v>
      </c>
      <c r="H9" s="98">
        <v>1245</v>
      </c>
    </row>
    <row r="10" spans="2:12" ht="15.75" customHeight="1" x14ac:dyDescent="0.35">
      <c r="B10" s="9"/>
      <c r="C10" s="9"/>
      <c r="D10" s="1"/>
      <c r="E10" s="9"/>
      <c r="F10" s="10"/>
      <c r="G10" s="10" t="str">
        <f>IF(Diciembre[[#This Row],[COTIZACION]]="", "", Diciembre[[#This Row],[ARS]]/Diciembre[[#This Row],[COTIZACION]])</f>
        <v/>
      </c>
      <c r="H10" s="10"/>
    </row>
    <row r="11" spans="2:12" ht="15.5" x14ac:dyDescent="0.35">
      <c r="B11" s="9"/>
      <c r="C11" s="9"/>
      <c r="D11" s="9"/>
      <c r="E11" s="9"/>
      <c r="F11" s="10"/>
      <c r="G11" s="10" t="str">
        <f>IF(Diciembre[[#This Row],[COTIZACION]]="", "", Diciembre[[#This Row],[ARS]]/Diciembre[[#This Row],[COTIZACION]])</f>
        <v/>
      </c>
      <c r="H11" s="10"/>
    </row>
    <row r="12" spans="2:12" ht="15.5" x14ac:dyDescent="0.35">
      <c r="B12" s="9"/>
      <c r="C12" s="9"/>
      <c r="D12" s="1"/>
      <c r="E12" s="9"/>
      <c r="F12" s="10"/>
      <c r="G12" s="10" t="str">
        <f>IF(Diciembre[[#This Row],[COTIZACION]]="", "", Diciembre[[#This Row],[ARS]]/Diciembre[[#This Row],[COTIZACION]])</f>
        <v/>
      </c>
      <c r="H12" s="10"/>
    </row>
    <row r="13" spans="2:12" ht="15.5" x14ac:dyDescent="0.35">
      <c r="B13" s="96"/>
      <c r="C13" s="96"/>
      <c r="D13" s="100"/>
      <c r="E13" s="9"/>
      <c r="F13" s="10"/>
      <c r="G13" s="10" t="str">
        <f>IF(Diciembre[[#This Row],[COTIZACION]]="", "", Diciembre[[#This Row],[ARS]]/Diciembre[[#This Row],[COTIZACION]])</f>
        <v/>
      </c>
      <c r="H13" s="10"/>
    </row>
    <row r="14" spans="2:12" ht="15.5" x14ac:dyDescent="0.35">
      <c r="B14" s="9"/>
      <c r="C14" s="9"/>
      <c r="D14" s="100"/>
      <c r="E14" s="9"/>
      <c r="F14" s="10"/>
      <c r="G14" s="10" t="str">
        <f>IF(Diciembre[[#This Row],[COTIZACION]]="", "", Diciembre[[#This Row],[ARS]]/Diciembre[[#This Row],[COTIZACION]])</f>
        <v/>
      </c>
      <c r="H14" s="10"/>
    </row>
    <row r="15" spans="2:12" ht="15.5" x14ac:dyDescent="0.35">
      <c r="B15" s="9"/>
      <c r="C15" s="9"/>
      <c r="D15" s="9"/>
      <c r="E15" s="9"/>
      <c r="F15" s="10"/>
      <c r="G15" s="10" t="str">
        <f>IF(Diciembre[[#This Row],[COTIZACION]]="", "", Diciembre[[#This Row],[ARS]]/Diciembre[[#This Row],[COTIZACION]])</f>
        <v/>
      </c>
      <c r="H15" s="10"/>
    </row>
    <row r="16" spans="2:12" ht="15.5" x14ac:dyDescent="0.35">
      <c r="B16" s="9"/>
      <c r="C16" s="9"/>
      <c r="D16" s="1"/>
      <c r="E16" s="9"/>
      <c r="F16" s="10"/>
      <c r="G16" s="10" t="str">
        <f>IF(Diciembre[[#This Row],[COTIZACION]]="", "", Diciembre[[#This Row],[ARS]]/Diciembre[[#This Row],[COTIZACION]])</f>
        <v/>
      </c>
      <c r="H16" s="10"/>
    </row>
    <row r="17" spans="2:8" ht="15.5" x14ac:dyDescent="0.35">
      <c r="B17" s="9"/>
      <c r="C17" s="9"/>
      <c r="D17" s="1"/>
      <c r="E17" s="9"/>
      <c r="F17" s="10"/>
      <c r="G17" s="10" t="str">
        <f>IF(Diciembre[[#This Row],[COTIZACION]]="", "", Diciembre[[#This Row],[ARS]]/Diciembre[[#This Row],[COTIZACION]])</f>
        <v/>
      </c>
      <c r="H17" s="10"/>
    </row>
    <row r="18" spans="2:8" ht="15.5" x14ac:dyDescent="0.35">
      <c r="B18" s="9"/>
      <c r="C18" s="9"/>
      <c r="D18" s="1"/>
      <c r="E18" s="9"/>
      <c r="F18" s="10"/>
      <c r="G18" s="10" t="str">
        <f>IF(Diciembre[[#This Row],[COTIZACION]]="", "", Diciembre[[#This Row],[ARS]]/Diciembre[[#This Row],[COTIZACION]])</f>
        <v/>
      </c>
      <c r="H18" s="10"/>
    </row>
    <row r="19" spans="2:8" ht="15.5" x14ac:dyDescent="0.35">
      <c r="B19" s="9"/>
      <c r="C19" s="9"/>
      <c r="D19" s="1"/>
      <c r="E19" s="9"/>
      <c r="F19" s="10"/>
      <c r="G19" s="10" t="str">
        <f>IF(Diciembre[[#This Row],[COTIZACION]]="", "", Diciembre[[#This Row],[ARS]]/Diciembre[[#This Row],[COTIZACION]])</f>
        <v/>
      </c>
      <c r="H19" s="10"/>
    </row>
    <row r="20" spans="2:8" ht="15.5" x14ac:dyDescent="0.35">
      <c r="B20" s="9"/>
      <c r="C20" s="9"/>
      <c r="D20" s="1"/>
      <c r="E20" s="9"/>
      <c r="F20" s="10"/>
      <c r="G20" s="10" t="str">
        <f>IF(Diciembre[[#This Row],[COTIZACION]]="", "", Diciembre[[#This Row],[ARS]]/Diciembre[[#This Row],[COTIZACION]])</f>
        <v/>
      </c>
      <c r="H20" s="10"/>
    </row>
    <row r="21" spans="2:8" ht="15.5" x14ac:dyDescent="0.35">
      <c r="B21" s="9"/>
      <c r="C21" s="9"/>
      <c r="D21" s="1"/>
      <c r="E21" s="9"/>
      <c r="F21" s="10"/>
      <c r="G21" s="10" t="str">
        <f>IF(Diciembre[[#This Row],[COTIZACION]]="", "", Diciembre[[#This Row],[ARS]]/Diciembre[[#This Row],[COTIZACION]])</f>
        <v/>
      </c>
      <c r="H21" s="10"/>
    </row>
    <row r="22" spans="2:8" ht="15.5" x14ac:dyDescent="0.35">
      <c r="B22" s="9"/>
      <c r="C22" s="9"/>
      <c r="D22" s="1"/>
      <c r="E22" s="9"/>
      <c r="F22" s="10"/>
      <c r="G22" s="10" t="str">
        <f>IF(Diciembre[[#This Row],[COTIZACION]]="", "", Diciembre[[#This Row],[ARS]]/Diciembre[[#This Row],[COTIZACION]])</f>
        <v/>
      </c>
      <c r="H22" s="10"/>
    </row>
    <row r="23" spans="2:8" ht="15.5" x14ac:dyDescent="0.35">
      <c r="B23" s="9"/>
      <c r="C23" s="9"/>
      <c r="D23" s="1"/>
      <c r="E23" s="9"/>
      <c r="F23" s="10"/>
      <c r="G23" s="10" t="str">
        <f>IF(Diciembre[[#This Row],[COTIZACION]]="", "", Diciembre[[#This Row],[ARS]]/Diciembre[[#This Row],[COTIZACION]])</f>
        <v/>
      </c>
      <c r="H23" s="10"/>
    </row>
    <row r="24" spans="2:8" ht="15.5" x14ac:dyDescent="0.35">
      <c r="B24" s="9"/>
      <c r="C24" s="9"/>
      <c r="D24" s="1"/>
      <c r="E24" s="9"/>
      <c r="F24" s="10"/>
      <c r="G24" s="10" t="str">
        <f>IF(Diciembre[[#This Row],[COTIZACION]]="", "", Diciembre[[#This Row],[ARS]]/Diciembre[[#This Row],[COTIZACION]])</f>
        <v/>
      </c>
      <c r="H24" s="10"/>
    </row>
    <row r="25" spans="2:8" ht="15.5" x14ac:dyDescent="0.35">
      <c r="B25" s="9"/>
      <c r="C25" s="9"/>
      <c r="D25" s="1"/>
      <c r="E25" s="9"/>
      <c r="F25" s="10"/>
      <c r="G25" s="10" t="str">
        <f>IF(Diciembre[[#This Row],[COTIZACION]]="", "", Diciembre[[#This Row],[ARS]]/Diciembre[[#This Row],[COTIZACION]])</f>
        <v/>
      </c>
      <c r="H25" s="10"/>
    </row>
    <row r="26" spans="2:8" ht="15.5" x14ac:dyDescent="0.35">
      <c r="B26" s="9"/>
      <c r="C26" s="9"/>
      <c r="D26" s="1"/>
      <c r="E26" s="9"/>
      <c r="F26" s="10"/>
      <c r="G26" s="10" t="str">
        <f>IF(Diciembre[[#This Row],[COTIZACION]]="", "", Diciembre[[#This Row],[ARS]]/Diciembre[[#This Row],[COTIZACION]])</f>
        <v/>
      </c>
      <c r="H26" s="10"/>
    </row>
    <row r="27" spans="2:8" ht="15.5" x14ac:dyDescent="0.35">
      <c r="B27" s="9"/>
      <c r="C27" s="9"/>
      <c r="D27" s="1"/>
      <c r="E27" s="9"/>
      <c r="F27" s="10"/>
      <c r="G27" s="10" t="str">
        <f>IF(Diciembre[[#This Row],[COTIZACION]]="", "", Diciembre[[#This Row],[ARS]]/Diciembre[[#This Row],[COTIZACION]])</f>
        <v/>
      </c>
      <c r="H27" s="10"/>
    </row>
    <row r="28" spans="2:8" ht="15.5" x14ac:dyDescent="0.35">
      <c r="B28" s="9"/>
      <c r="C28" s="9"/>
      <c r="D28" s="1"/>
      <c r="E28" s="9"/>
      <c r="F28" s="10"/>
      <c r="G28" s="10" t="str">
        <f>IF(Diciembre[[#This Row],[COTIZACION]]="", "", Diciembre[[#This Row],[ARS]]/Diciembre[[#This Row],[COTIZACION]])</f>
        <v/>
      </c>
      <c r="H28" s="10"/>
    </row>
    <row r="29" spans="2:8" ht="15.5" x14ac:dyDescent="0.35">
      <c r="B29" s="9"/>
      <c r="C29" s="9"/>
      <c r="D29" s="1"/>
      <c r="E29" s="9"/>
      <c r="F29" s="10"/>
      <c r="G29" s="10" t="str">
        <f>IF(Diciembre[[#This Row],[COTIZACION]]="", "", Diciembre[[#This Row],[ARS]]/Diciembre[[#This Row],[COTIZACION]])</f>
        <v/>
      </c>
      <c r="H29" s="10"/>
    </row>
    <row r="30" spans="2:8" ht="15.5" x14ac:dyDescent="0.35">
      <c r="B30" s="9"/>
      <c r="C30" s="9"/>
      <c r="D30" s="1"/>
      <c r="E30" s="9"/>
      <c r="F30" s="10"/>
      <c r="G30" s="10" t="str">
        <f>IF(Diciembre[[#This Row],[COTIZACION]]="", "", Diciembre[[#This Row],[ARS]]/Diciembre[[#This Row],[COTIZACION]])</f>
        <v/>
      </c>
      <c r="H30" s="10"/>
    </row>
    <row r="31" spans="2:8" ht="15.5" x14ac:dyDescent="0.35">
      <c r="B31" s="9"/>
      <c r="C31" s="9"/>
      <c r="D31" s="1"/>
      <c r="E31" s="9"/>
      <c r="F31" s="10"/>
      <c r="G31" s="10" t="str">
        <f>IF(Diciembre[[#This Row],[COTIZACION]]="", "", Diciembre[[#This Row],[ARS]]/Diciembre[[#This Row],[COTIZACION]])</f>
        <v/>
      </c>
      <c r="H31" s="10"/>
    </row>
    <row r="32" spans="2:8" ht="15.5" x14ac:dyDescent="0.35">
      <c r="B32" s="9"/>
      <c r="C32" s="9"/>
      <c r="D32" s="1"/>
      <c r="E32" s="9"/>
      <c r="F32" s="10"/>
      <c r="G32" s="10" t="str">
        <f>IF(Diciembre[[#This Row],[COTIZACION]]="", "", Diciembre[[#This Row],[ARS]]/Diciembre[[#This Row],[COTIZACION]])</f>
        <v/>
      </c>
      <c r="H32" s="10"/>
    </row>
    <row r="33" spans="2:8" ht="15.5" x14ac:dyDescent="0.35">
      <c r="B33" s="9"/>
      <c r="C33" s="9"/>
      <c r="D33" s="1"/>
      <c r="E33" s="9"/>
      <c r="F33" s="10"/>
      <c r="G33" s="10" t="str">
        <f>IF(Diciembre[[#This Row],[COTIZACION]]="", "", Diciembre[[#This Row],[ARS]]/Diciembre[[#This Row],[COTIZACION]])</f>
        <v/>
      </c>
      <c r="H33" s="10"/>
    </row>
    <row r="34" spans="2:8" ht="15.5" x14ac:dyDescent="0.35">
      <c r="B34" s="9"/>
      <c r="C34" s="9"/>
      <c r="D34" s="1"/>
      <c r="E34" s="9"/>
      <c r="F34" s="10"/>
      <c r="G34" s="10" t="str">
        <f>IF(Diciembre[[#This Row],[COTIZACION]]="", "", Diciembre[[#This Row],[ARS]]/Diciembre[[#This Row],[COTIZACION]])</f>
        <v/>
      </c>
      <c r="H34" s="10"/>
    </row>
    <row r="35" spans="2:8" ht="15.5" x14ac:dyDescent="0.35">
      <c r="B35" s="9"/>
      <c r="C35" s="9"/>
      <c r="D35" s="1"/>
      <c r="E35" s="9"/>
      <c r="F35" s="10"/>
      <c r="G35" s="10" t="str">
        <f>IF(Diciembre[[#This Row],[COTIZACION]]="", "", Diciembre[[#This Row],[ARS]]/Diciembre[[#This Row],[COTIZACION]])</f>
        <v/>
      </c>
      <c r="H35" s="10"/>
    </row>
    <row r="36" spans="2:8" ht="15.5" x14ac:dyDescent="0.35">
      <c r="B36" s="9"/>
      <c r="C36" s="9"/>
      <c r="D36" s="1"/>
      <c r="E36" s="9"/>
      <c r="F36" s="10"/>
      <c r="G36" s="10" t="str">
        <f>IF(Diciembre[[#This Row],[COTIZACION]]="", "", Diciembre[[#This Row],[ARS]]/Diciembre[[#This Row],[COTIZACION]])</f>
        <v/>
      </c>
      <c r="H36" s="10"/>
    </row>
    <row r="37" spans="2:8" ht="15.5" x14ac:dyDescent="0.35">
      <c r="B37" s="9"/>
      <c r="C37" s="9"/>
      <c r="D37" s="1"/>
      <c r="E37" s="9"/>
      <c r="F37" s="10"/>
      <c r="G37" s="10" t="str">
        <f>IF(Diciembre[[#This Row],[COTIZACION]]="", "", Diciembre[[#This Row],[ARS]]/Diciembre[[#This Row],[COTIZACION]])</f>
        <v/>
      </c>
      <c r="H37" s="10"/>
    </row>
    <row r="38" spans="2:8" ht="15.5" x14ac:dyDescent="0.35">
      <c r="B38" s="9"/>
      <c r="C38" s="9"/>
      <c r="D38" s="1"/>
      <c r="E38" s="9"/>
      <c r="F38" s="10"/>
      <c r="G38" s="10" t="str">
        <f>IF(Diciembre[[#This Row],[COTIZACION]]="", "", Diciembre[[#This Row],[ARS]]/Diciembre[[#This Row],[COTIZACION]])</f>
        <v/>
      </c>
      <c r="H38" s="10"/>
    </row>
    <row r="39" spans="2:8" ht="15.5" x14ac:dyDescent="0.35">
      <c r="B39" s="9"/>
      <c r="C39" s="9"/>
      <c r="D39" s="1"/>
      <c r="E39" s="9"/>
      <c r="F39" s="10"/>
      <c r="G39" s="10" t="str">
        <f>IF(Diciembre[[#This Row],[COTIZACION]]="", "", Diciembre[[#This Row],[ARS]]/Diciembre[[#This Row],[COTIZACION]])</f>
        <v/>
      </c>
      <c r="H39" s="10"/>
    </row>
    <row r="40" spans="2:8" ht="15.5" x14ac:dyDescent="0.35">
      <c r="B40" s="9"/>
      <c r="C40" s="9"/>
      <c r="D40" s="1"/>
      <c r="E40" s="9"/>
      <c r="F40" s="10"/>
      <c r="G40" s="10" t="str">
        <f>IF(Diciembre[[#This Row],[COTIZACION]]="", "", Diciembre[[#This Row],[ARS]]/Diciembre[[#This Row],[COTIZACION]])</f>
        <v/>
      </c>
      <c r="H40" s="10"/>
    </row>
    <row r="41" spans="2:8" ht="15.5" x14ac:dyDescent="0.35">
      <c r="B41" s="9"/>
      <c r="C41" s="9"/>
      <c r="D41" s="1"/>
      <c r="E41" s="9"/>
      <c r="F41" s="10"/>
      <c r="G41" s="10" t="str">
        <f>IF(Diciembre[[#This Row],[COTIZACION]]="", "", Diciembre[[#This Row],[ARS]]/Diciembre[[#This Row],[COTIZACION]])</f>
        <v/>
      </c>
      <c r="H41" s="10"/>
    </row>
    <row r="42" spans="2:8" ht="15.5" x14ac:dyDescent="0.35">
      <c r="B42" s="9"/>
      <c r="C42" s="9"/>
      <c r="D42" s="1"/>
      <c r="E42" s="9"/>
      <c r="F42" s="10"/>
      <c r="G42" s="10" t="str">
        <f>IF(Diciembre[[#This Row],[COTIZACION]]="", "", Diciembre[[#This Row],[ARS]]/Diciembre[[#This Row],[COTIZACION]])</f>
        <v/>
      </c>
      <c r="H42" s="10"/>
    </row>
    <row r="43" spans="2:8" ht="15.5" x14ac:dyDescent="0.35">
      <c r="B43" s="9"/>
      <c r="C43" s="9"/>
      <c r="D43" s="1"/>
      <c r="E43" s="9"/>
      <c r="F43" s="10"/>
      <c r="G43" s="10" t="str">
        <f>IF(Diciembre[[#This Row],[COTIZACION]]="", "", Diciembre[[#This Row],[ARS]]/Diciembre[[#This Row],[COTIZACION]])</f>
        <v/>
      </c>
      <c r="H43" s="10"/>
    </row>
    <row r="44" spans="2:8" ht="15.5" x14ac:dyDescent="0.35">
      <c r="B44" s="9"/>
      <c r="C44" s="9"/>
      <c r="D44" s="1"/>
      <c r="E44" s="9"/>
      <c r="F44" s="10"/>
      <c r="G44" s="10" t="str">
        <f>IF(Diciembre[[#This Row],[COTIZACION]]="", "", Diciembre[[#This Row],[ARS]]/Diciembre[[#This Row],[COTIZACION]])</f>
        <v/>
      </c>
      <c r="H44" s="10"/>
    </row>
    <row r="45" spans="2:8" ht="15.5" x14ac:dyDescent="0.35">
      <c r="B45" s="9"/>
      <c r="C45" s="9"/>
      <c r="D45" s="1"/>
      <c r="E45" s="9"/>
      <c r="F45" s="10"/>
      <c r="G45" s="10" t="str">
        <f>IF(Diciembre[[#This Row],[COTIZACION]]="", "", Diciembre[[#This Row],[ARS]]/Diciembre[[#This Row],[COTIZACION]])</f>
        <v/>
      </c>
      <c r="H45" s="10"/>
    </row>
    <row r="46" spans="2:8" ht="15.5" x14ac:dyDescent="0.35">
      <c r="B46" s="9"/>
      <c r="C46" s="9"/>
      <c r="D46" s="1"/>
      <c r="E46" s="9"/>
      <c r="F46" s="10"/>
      <c r="G46" s="10" t="str">
        <f>IF(Diciembre[[#This Row],[COTIZACION]]="", "", Diciembre[[#This Row],[ARS]]/Diciembre[[#This Row],[COTIZACION]])</f>
        <v/>
      </c>
      <c r="H46" s="10"/>
    </row>
    <row r="47" spans="2:8" ht="15.5" x14ac:dyDescent="0.35">
      <c r="B47" s="9"/>
      <c r="C47" s="9"/>
      <c r="D47" s="1"/>
      <c r="E47" s="9"/>
      <c r="F47" s="10"/>
      <c r="G47" s="10" t="str">
        <f>IF(Diciembre[[#This Row],[COTIZACION]]="", "", Diciembre[[#This Row],[ARS]]/Diciembre[[#This Row],[COTIZACION]])</f>
        <v/>
      </c>
      <c r="H47" s="10"/>
    </row>
    <row r="48" spans="2:8" ht="15.5" x14ac:dyDescent="0.35">
      <c r="B48" s="9"/>
      <c r="C48" s="9"/>
      <c r="D48" s="1"/>
      <c r="E48" s="9"/>
      <c r="F48" s="10"/>
      <c r="G48" s="10" t="str">
        <f>IF(Diciembre[[#This Row],[COTIZACION]]="", "", Diciembre[[#This Row],[ARS]]/Diciembre[[#This Row],[COTIZACION]])</f>
        <v/>
      </c>
      <c r="H48" s="10"/>
    </row>
    <row r="49" spans="2:8" ht="15.5" x14ac:dyDescent="0.35">
      <c r="B49" s="9"/>
      <c r="C49" s="9"/>
      <c r="D49" s="1"/>
      <c r="E49" s="9"/>
      <c r="F49" s="10"/>
      <c r="G49" s="10" t="str">
        <f>IF(Diciembre[[#This Row],[COTIZACION]]="", "", Diciembre[[#This Row],[ARS]]/Diciembre[[#This Row],[COTIZACION]])</f>
        <v/>
      </c>
      <c r="H49" s="10"/>
    </row>
    <row r="50" spans="2:8" ht="15.5" x14ac:dyDescent="0.35">
      <c r="B50" s="9"/>
      <c r="C50" s="9"/>
      <c r="D50" s="1"/>
      <c r="E50" s="9"/>
      <c r="F50" s="10"/>
      <c r="G50" s="10" t="str">
        <f>IF(Diciembre[[#This Row],[COTIZACION]]="", "", Diciembre[[#This Row],[ARS]]/Diciembre[[#This Row],[COTIZACION]])</f>
        <v/>
      </c>
      <c r="H50" s="10"/>
    </row>
    <row r="51" spans="2:8" ht="15.5" x14ac:dyDescent="0.35">
      <c r="B51" s="9"/>
      <c r="C51" s="9"/>
      <c r="D51" s="1"/>
      <c r="E51" s="9"/>
      <c r="F51" s="10"/>
      <c r="G51" s="10" t="str">
        <f>IF(Diciembre[[#This Row],[COTIZACION]]="", "", Diciembre[[#This Row],[ARS]]/Diciembre[[#This Row],[COTIZACION]])</f>
        <v/>
      </c>
      <c r="H51" s="10"/>
    </row>
    <row r="52" spans="2:8" ht="15.5" x14ac:dyDescent="0.35">
      <c r="B52" s="9"/>
      <c r="C52" s="9"/>
      <c r="D52" s="1"/>
      <c r="E52" s="9"/>
      <c r="F52" s="10"/>
      <c r="G52" s="10" t="str">
        <f>IF(Diciembre[[#This Row],[COTIZACION]]="", "", Diciembre[[#This Row],[ARS]]/Diciembre[[#This Row],[COTIZACION]])</f>
        <v/>
      </c>
      <c r="H52" s="10"/>
    </row>
    <row r="53" spans="2:8" ht="15.5" x14ac:dyDescent="0.35">
      <c r="B53" s="9"/>
      <c r="C53" s="9"/>
      <c r="D53" s="1"/>
      <c r="E53" s="9"/>
      <c r="F53" s="10"/>
      <c r="G53" s="10" t="str">
        <f>IF(Diciembre[[#This Row],[COTIZACION]]="", "", Diciembre[[#This Row],[ARS]]/Diciembre[[#This Row],[COTIZACION]])</f>
        <v/>
      </c>
      <c r="H53" s="10"/>
    </row>
    <row r="54" spans="2:8" ht="15.5" x14ac:dyDescent="0.35">
      <c r="B54" s="9"/>
      <c r="C54" s="9"/>
      <c r="D54" s="1"/>
      <c r="E54" s="9"/>
      <c r="F54" s="10"/>
      <c r="G54" s="10" t="str">
        <f>IF(Diciembre[[#This Row],[COTIZACION]]="", "", Diciembre[[#This Row],[ARS]]/Diciembre[[#This Row],[COTIZACION]])</f>
        <v/>
      </c>
      <c r="H54" s="10"/>
    </row>
    <row r="55" spans="2:8" ht="15.5" x14ac:dyDescent="0.35">
      <c r="B55" s="9"/>
      <c r="C55" s="9"/>
      <c r="D55" s="1"/>
      <c r="E55" s="9"/>
      <c r="F55" s="10"/>
      <c r="G55" s="10" t="str">
        <f>IF(Diciembre[[#This Row],[COTIZACION]]="", "", Diciembre[[#This Row],[ARS]]/Diciembre[[#This Row],[COTIZACION]])</f>
        <v/>
      </c>
      <c r="H55" s="10"/>
    </row>
    <row r="56" spans="2:8" ht="15.5" x14ac:dyDescent="0.35">
      <c r="B56" s="9"/>
      <c r="C56" s="9"/>
      <c r="D56" s="1"/>
      <c r="E56" s="9"/>
      <c r="F56" s="10"/>
      <c r="G56" s="10" t="str">
        <f>IF(Diciembre[[#This Row],[COTIZACION]]="", "", Diciembre[[#This Row],[ARS]]/Diciembre[[#This Row],[COTIZACION]])</f>
        <v/>
      </c>
      <c r="H56" s="10"/>
    </row>
    <row r="57" spans="2:8" ht="15.5" x14ac:dyDescent="0.35">
      <c r="B57" s="9"/>
      <c r="C57" s="9"/>
      <c r="D57" s="1"/>
      <c r="E57" s="9"/>
      <c r="F57" s="10"/>
      <c r="G57" s="10" t="str">
        <f>IF(Diciembre[[#This Row],[COTIZACION]]="", "", Diciembre[[#This Row],[ARS]]/Diciembre[[#This Row],[COTIZACION]])</f>
        <v/>
      </c>
      <c r="H57" s="10"/>
    </row>
    <row r="58" spans="2:8" ht="15.5" x14ac:dyDescent="0.35">
      <c r="B58" s="9"/>
      <c r="C58" s="9"/>
      <c r="D58" s="1"/>
      <c r="E58" s="9"/>
      <c r="F58" s="10"/>
      <c r="G58" s="10" t="str">
        <f>IF(Diciembre[[#This Row],[COTIZACION]]="", "", Diciembre[[#This Row],[ARS]]/Diciembre[[#This Row],[COTIZACION]])</f>
        <v/>
      </c>
      <c r="H58" s="10"/>
    </row>
    <row r="59" spans="2:8" ht="15.5" x14ac:dyDescent="0.35">
      <c r="B59" s="9"/>
      <c r="C59" s="9"/>
      <c r="D59" s="1"/>
      <c r="E59" s="9"/>
      <c r="F59" s="10"/>
      <c r="G59" s="10" t="str">
        <f>IF(Diciembre[[#This Row],[COTIZACION]]="", "", Diciembre[[#This Row],[ARS]]/Diciembre[[#This Row],[COTIZACION]])</f>
        <v/>
      </c>
      <c r="H59" s="10"/>
    </row>
    <row r="60" spans="2:8" ht="15.5" x14ac:dyDescent="0.35">
      <c r="B60" s="9"/>
      <c r="C60" s="9"/>
      <c r="D60" s="1"/>
      <c r="E60" s="9"/>
      <c r="F60" s="10"/>
      <c r="G60" s="10" t="str">
        <f>IF(Diciembre[[#This Row],[COTIZACION]]="", "", Diciembre[[#This Row],[ARS]]/Diciembre[[#This Row],[COTIZACION]])</f>
        <v/>
      </c>
      <c r="H60" s="10"/>
    </row>
    <row r="61" spans="2:8" ht="15.5" x14ac:dyDescent="0.35">
      <c r="B61" s="9"/>
      <c r="C61" s="9"/>
      <c r="D61" s="1"/>
      <c r="E61" s="9"/>
      <c r="F61" s="10"/>
      <c r="G61" s="10" t="str">
        <f>IF(Diciembre[[#This Row],[COTIZACION]]="", "", Diciembre[[#This Row],[ARS]]/Diciembre[[#This Row],[COTIZACION]])</f>
        <v/>
      </c>
      <c r="H61" s="10"/>
    </row>
    <row r="62" spans="2:8" ht="15.5" x14ac:dyDescent="0.35">
      <c r="B62" s="9"/>
      <c r="C62" s="9"/>
      <c r="D62" s="1"/>
      <c r="E62" s="9"/>
      <c r="F62" s="10"/>
      <c r="G62" s="10" t="str">
        <f>IF(Diciembre[[#This Row],[COTIZACION]]="", "", Diciembre[[#This Row],[ARS]]/Diciembre[[#This Row],[COTIZACION]])</f>
        <v/>
      </c>
      <c r="H62" s="10"/>
    </row>
    <row r="63" spans="2:8" ht="15.5" x14ac:dyDescent="0.35">
      <c r="B63" s="9"/>
      <c r="C63" s="9"/>
      <c r="D63" s="1"/>
      <c r="E63" s="9"/>
      <c r="F63" s="10"/>
      <c r="G63" s="10" t="str">
        <f>IF(Diciembre[[#This Row],[COTIZACION]]="", "", Diciembre[[#This Row],[ARS]]/Diciembre[[#This Row],[COTIZACION]])</f>
        <v/>
      </c>
      <c r="H63" s="10"/>
    </row>
    <row r="64" spans="2:8" ht="15.5" x14ac:dyDescent="0.35">
      <c r="B64" s="9"/>
      <c r="C64" s="9"/>
      <c r="D64" s="1"/>
      <c r="E64" s="9"/>
      <c r="F64" s="10"/>
      <c r="G64" s="10" t="str">
        <f>IF(Diciembre[[#This Row],[COTIZACION]]="", "", Diciembre[[#This Row],[ARS]]/Diciembre[[#This Row],[COTIZACION]])</f>
        <v/>
      </c>
      <c r="H64" s="10"/>
    </row>
    <row r="65" spans="2:8" ht="15.5" x14ac:dyDescent="0.35">
      <c r="B65" s="9"/>
      <c r="C65" s="9"/>
      <c r="D65" s="1"/>
      <c r="E65" s="9"/>
      <c r="F65" s="10"/>
      <c r="G65" s="10" t="str">
        <f>IF(Diciembre[[#This Row],[COTIZACION]]="", "", Diciembre[[#This Row],[ARS]]/Diciembre[[#This Row],[COTIZACION]])</f>
        <v/>
      </c>
      <c r="H65" s="10"/>
    </row>
    <row r="66" spans="2:8" ht="15.5" x14ac:dyDescent="0.35">
      <c r="B66" s="9"/>
      <c r="C66" s="9"/>
      <c r="D66" s="1"/>
      <c r="E66" s="9"/>
      <c r="F66" s="10"/>
      <c r="G66" s="10" t="str">
        <f>IF(Diciembre[[#This Row],[COTIZACION]]="", "", Diciembre[[#This Row],[ARS]]/Diciembre[[#This Row],[COTIZACION]])</f>
        <v/>
      </c>
      <c r="H66" s="10"/>
    </row>
    <row r="67" spans="2:8" ht="15.5" x14ac:dyDescent="0.35">
      <c r="B67" s="9"/>
      <c r="C67" s="9"/>
      <c r="D67" s="1"/>
      <c r="E67" s="9"/>
      <c r="F67" s="10"/>
      <c r="G67" s="10" t="str">
        <f>IF(Diciembre[[#This Row],[COTIZACION]]="", "", Diciembre[[#This Row],[ARS]]/Diciembre[[#This Row],[COTIZACION]])</f>
        <v/>
      </c>
      <c r="H67" s="10"/>
    </row>
    <row r="68" spans="2:8" ht="15.5" x14ac:dyDescent="0.35">
      <c r="B68" s="9"/>
      <c r="C68" s="9"/>
      <c r="D68" s="1"/>
      <c r="E68" s="9"/>
      <c r="F68" s="10"/>
      <c r="G68" s="10" t="str">
        <f>IF(Diciembre[[#This Row],[COTIZACION]]="", "", Diciembre[[#This Row],[ARS]]/Diciembre[[#This Row],[COTIZACION]])</f>
        <v/>
      </c>
      <c r="H68" s="10"/>
    </row>
    <row r="69" spans="2:8" ht="15.5" x14ac:dyDescent="0.35">
      <c r="B69" s="9"/>
      <c r="C69" s="9"/>
      <c r="D69" s="1"/>
      <c r="E69" s="9"/>
      <c r="F69" s="10"/>
      <c r="G69" s="10" t="str">
        <f>IF(Diciembre[[#This Row],[COTIZACION]]="", "", Diciembre[[#This Row],[ARS]]/Diciembre[[#This Row],[COTIZACION]])</f>
        <v/>
      </c>
      <c r="H69" s="10"/>
    </row>
    <row r="70" spans="2:8" ht="15.5" x14ac:dyDescent="0.35">
      <c r="B70" s="9"/>
      <c r="C70" s="9"/>
      <c r="D70" s="1"/>
      <c r="E70" s="9"/>
      <c r="F70" s="10"/>
      <c r="G70" s="10" t="str">
        <f>IF(Diciembre[[#This Row],[COTIZACION]]="", "", Diciembre[[#This Row],[ARS]]/Diciembre[[#This Row],[COTIZACION]])</f>
        <v/>
      </c>
      <c r="H70" s="10"/>
    </row>
    <row r="71" spans="2:8" ht="15.5" x14ac:dyDescent="0.35">
      <c r="B71" s="9"/>
      <c r="C71" s="9"/>
      <c r="D71" s="1"/>
      <c r="E71" s="9"/>
      <c r="F71" s="10"/>
      <c r="G71" s="10" t="str">
        <f>IF(Diciembre[[#This Row],[COTIZACION]]="", "", Diciembre[[#This Row],[ARS]]/Diciembre[[#This Row],[COTIZACION]])</f>
        <v/>
      </c>
      <c r="H71" s="10"/>
    </row>
    <row r="72" spans="2:8" ht="15.5" x14ac:dyDescent="0.35">
      <c r="B72" s="9"/>
      <c r="C72" s="9"/>
      <c r="D72" s="1"/>
      <c r="E72" s="9"/>
      <c r="F72" s="10"/>
      <c r="G72" s="10" t="str">
        <f>IF(Diciembre[[#This Row],[COTIZACION]]="", "", Diciembre[[#This Row],[ARS]]/Diciembre[[#This Row],[COTIZACION]])</f>
        <v/>
      </c>
      <c r="H72" s="10"/>
    </row>
    <row r="73" spans="2:8" ht="15.5" x14ac:dyDescent="0.35">
      <c r="B73" s="9"/>
      <c r="C73" s="9"/>
      <c r="D73" s="1"/>
      <c r="E73" s="9"/>
      <c r="F73" s="10"/>
      <c r="G73" s="10" t="str">
        <f>IF(Diciembre[[#This Row],[COTIZACION]]="", "", Diciembre[[#This Row],[ARS]]/Diciembre[[#This Row],[COTIZACION]])</f>
        <v/>
      </c>
      <c r="H73" s="10"/>
    </row>
    <row r="74" spans="2:8" ht="15.5" x14ac:dyDescent="0.35">
      <c r="B74" s="9"/>
      <c r="C74" s="9"/>
      <c r="D74" s="1"/>
      <c r="E74" s="9"/>
      <c r="F74" s="10"/>
      <c r="G74" s="10" t="str">
        <f>IF(Diciembre[[#This Row],[COTIZACION]]="", "", Diciembre[[#This Row],[ARS]]/Diciembre[[#This Row],[COTIZACION]])</f>
        <v/>
      </c>
      <c r="H74" s="10"/>
    </row>
    <row r="75" spans="2:8" ht="15.5" x14ac:dyDescent="0.35">
      <c r="B75" s="9"/>
      <c r="C75" s="9"/>
      <c r="D75" s="1"/>
      <c r="E75" s="9"/>
      <c r="F75" s="10"/>
      <c r="G75" s="10" t="str">
        <f>IF(Diciembre[[#This Row],[COTIZACION]]="", "", Diciembre[[#This Row],[ARS]]/Diciembre[[#This Row],[COTIZACION]])</f>
        <v/>
      </c>
      <c r="H75" s="10"/>
    </row>
    <row r="76" spans="2:8" ht="15.5" x14ac:dyDescent="0.35">
      <c r="B76" s="9"/>
      <c r="C76" s="9"/>
      <c r="D76" s="1"/>
      <c r="E76" s="9"/>
      <c r="F76" s="10"/>
      <c r="G76" s="10" t="str">
        <f>IF(Diciembre[[#This Row],[COTIZACION]]="", "", Diciembre[[#This Row],[ARS]]/Diciembre[[#This Row],[COTIZACION]])</f>
        <v/>
      </c>
      <c r="H76" s="10"/>
    </row>
    <row r="77" spans="2:8" ht="15.5" x14ac:dyDescent="0.35">
      <c r="B77" s="9"/>
      <c r="C77" s="9"/>
      <c r="D77" s="1"/>
      <c r="E77" s="9"/>
      <c r="F77" s="10"/>
      <c r="G77" s="10" t="str">
        <f>IF(Diciembre[[#This Row],[COTIZACION]]="", "", Diciembre[[#This Row],[ARS]]/Diciembre[[#This Row],[COTIZACION]])</f>
        <v/>
      </c>
      <c r="H77" s="10"/>
    </row>
    <row r="78" spans="2:8" ht="15.5" x14ac:dyDescent="0.35">
      <c r="B78" s="9"/>
      <c r="C78" s="9"/>
      <c r="D78" s="1"/>
      <c r="E78" s="9"/>
      <c r="F78" s="10"/>
      <c r="G78" s="10" t="str">
        <f>IF(Diciembre[[#This Row],[COTIZACION]]="", "", Diciembre[[#This Row],[ARS]]/Diciembre[[#This Row],[COTIZACION]])</f>
        <v/>
      </c>
      <c r="H78" s="10"/>
    </row>
    <row r="79" spans="2:8" ht="15.5" x14ac:dyDescent="0.35">
      <c r="B79" s="9"/>
      <c r="C79" s="9"/>
      <c r="D79" s="1"/>
      <c r="E79" s="9"/>
      <c r="F79" s="10"/>
      <c r="G79" s="10" t="str">
        <f>IF(Diciembre[[#This Row],[COTIZACION]]="", "", Diciembre[[#This Row],[ARS]]/Diciembre[[#This Row],[COTIZACION]])</f>
        <v/>
      </c>
      <c r="H79" s="10"/>
    </row>
    <row r="80" spans="2:8" ht="15.5" x14ac:dyDescent="0.35">
      <c r="B80" s="9"/>
      <c r="C80" s="9"/>
      <c r="D80" s="1"/>
      <c r="E80" s="9"/>
      <c r="F80" s="10"/>
      <c r="G80" s="10" t="str">
        <f>IF(Diciembre[[#This Row],[COTIZACION]]="", "", Diciembre[[#This Row],[ARS]]/Diciembre[[#This Row],[COTIZACION]])</f>
        <v/>
      </c>
      <c r="H80" s="10"/>
    </row>
    <row r="81" spans="2:8" ht="15.5" x14ac:dyDescent="0.35">
      <c r="B81" s="9"/>
      <c r="C81" s="9"/>
      <c r="D81" s="1"/>
      <c r="E81" s="9"/>
      <c r="F81" s="10"/>
      <c r="G81" s="10" t="str">
        <f>IF(Diciembre[[#This Row],[COTIZACION]]="", "", Diciembre[[#This Row],[ARS]]/Diciembre[[#This Row],[COTIZACION]])</f>
        <v/>
      </c>
      <c r="H81" s="10"/>
    </row>
    <row r="82" spans="2:8" ht="15.5" x14ac:dyDescent="0.35">
      <c r="B82" s="9"/>
      <c r="C82" s="9"/>
      <c r="D82" s="1"/>
      <c r="E82" s="9"/>
      <c r="F82" s="10"/>
      <c r="G82" s="10" t="str">
        <f>IF(Diciembre[[#This Row],[COTIZACION]]="", "", Diciembre[[#This Row],[ARS]]/Diciembre[[#This Row],[COTIZACION]])</f>
        <v/>
      </c>
      <c r="H82" s="10"/>
    </row>
    <row r="83" spans="2:8" ht="15.5" x14ac:dyDescent="0.35">
      <c r="B83" s="9"/>
      <c r="C83" s="9"/>
      <c r="D83" s="1"/>
      <c r="E83" s="9"/>
      <c r="F83" s="10"/>
      <c r="G83" s="10" t="str">
        <f>IF(Diciembre[[#This Row],[COTIZACION]]="", "", Diciembre[[#This Row],[ARS]]/Diciembre[[#This Row],[COTIZACION]])</f>
        <v/>
      </c>
      <c r="H83" s="10"/>
    </row>
    <row r="84" spans="2:8" ht="15.5" x14ac:dyDescent="0.35">
      <c r="B84" s="9"/>
      <c r="C84" s="9"/>
      <c r="D84" s="1"/>
      <c r="E84" s="9"/>
      <c r="F84" s="10"/>
      <c r="G84" s="10" t="str">
        <f>IF(Diciembre[[#This Row],[COTIZACION]]="", "", Diciembre[[#This Row],[ARS]]/Diciembre[[#This Row],[COTIZACION]])</f>
        <v/>
      </c>
      <c r="H84" s="10"/>
    </row>
    <row r="85" spans="2:8" ht="15.5" x14ac:dyDescent="0.35">
      <c r="B85" s="9"/>
      <c r="C85" s="9"/>
      <c r="D85" s="1"/>
      <c r="E85" s="9"/>
      <c r="F85" s="10"/>
      <c r="G85" s="10" t="str">
        <f>IF(Diciembre[[#This Row],[COTIZACION]]="", "", Diciembre[[#This Row],[ARS]]/Diciembre[[#This Row],[COTIZACION]])</f>
        <v/>
      </c>
      <c r="H85" s="10"/>
    </row>
    <row r="86" spans="2:8" ht="15.5" x14ac:dyDescent="0.35">
      <c r="B86" s="9"/>
      <c r="C86" s="9"/>
      <c r="D86" s="1"/>
      <c r="E86" s="9"/>
      <c r="F86" s="10"/>
      <c r="G86" s="10" t="str">
        <f>IF(Diciembre[[#This Row],[COTIZACION]]="", "", Diciembre[[#This Row],[ARS]]/Diciembre[[#This Row],[COTIZACION]])</f>
        <v/>
      </c>
      <c r="H86" s="10"/>
    </row>
    <row r="87" spans="2:8" ht="15.5" x14ac:dyDescent="0.35">
      <c r="B87" s="9"/>
      <c r="C87" s="9"/>
      <c r="D87" s="1"/>
      <c r="E87" s="9"/>
      <c r="F87" s="10"/>
      <c r="G87" s="10" t="str">
        <f>IF(Diciembre[[#This Row],[COTIZACION]]="", "", Diciembre[[#This Row],[ARS]]/Diciembre[[#This Row],[COTIZACION]])</f>
        <v/>
      </c>
      <c r="H87" s="10"/>
    </row>
    <row r="88" spans="2:8" ht="15.5" x14ac:dyDescent="0.35">
      <c r="B88" s="9"/>
      <c r="C88" s="9"/>
      <c r="D88" s="1"/>
      <c r="E88" s="9"/>
      <c r="F88" s="10"/>
      <c r="G88" s="10" t="str">
        <f>IF(Diciembre[[#This Row],[COTIZACION]]="", "", Diciembre[[#This Row],[ARS]]/Diciembre[[#This Row],[COTIZACION]])</f>
        <v/>
      </c>
      <c r="H88" s="10"/>
    </row>
    <row r="89" spans="2:8" ht="15.5" x14ac:dyDescent="0.35">
      <c r="B89" s="9"/>
      <c r="C89" s="9"/>
      <c r="D89" s="1"/>
      <c r="E89" s="9"/>
      <c r="F89" s="10"/>
      <c r="G89" s="10" t="str">
        <f>IF(Diciembre[[#This Row],[COTIZACION]]="", "", Diciembre[[#This Row],[ARS]]/Diciembre[[#This Row],[COTIZACION]])</f>
        <v/>
      </c>
      <c r="H89" s="10"/>
    </row>
    <row r="90" spans="2:8" ht="15.5" x14ac:dyDescent="0.35">
      <c r="B90" s="9"/>
      <c r="C90" s="9"/>
      <c r="D90" s="1"/>
      <c r="E90" s="9"/>
      <c r="F90" s="10"/>
      <c r="G90" s="10" t="str">
        <f>IF(Diciembre[[#This Row],[COTIZACION]]="", "", Diciembre[[#This Row],[ARS]]/Diciembre[[#This Row],[COTIZACION]])</f>
        <v/>
      </c>
      <c r="H90" s="10"/>
    </row>
    <row r="91" spans="2:8" ht="15.5" x14ac:dyDescent="0.35">
      <c r="B91" s="9"/>
      <c r="C91" s="9"/>
      <c r="D91" s="1"/>
      <c r="E91" s="9"/>
      <c r="F91" s="10"/>
      <c r="G91" s="10" t="str">
        <f>IF(Diciembre[[#This Row],[COTIZACION]]="", "", Diciembre[[#This Row],[ARS]]/Diciembre[[#This Row],[COTIZACION]])</f>
        <v/>
      </c>
      <c r="H91" s="10"/>
    </row>
    <row r="92" spans="2:8" ht="15.5" x14ac:dyDescent="0.35">
      <c r="B92" s="9"/>
      <c r="C92" s="9"/>
      <c r="D92" s="1"/>
      <c r="E92" s="9"/>
      <c r="F92" s="10"/>
      <c r="G92" s="10" t="str">
        <f>IF(Diciembre[[#This Row],[COTIZACION]]="", "", Diciembre[[#This Row],[ARS]]/Diciembre[[#This Row],[COTIZACION]])</f>
        <v/>
      </c>
      <c r="H92" s="10"/>
    </row>
    <row r="93" spans="2:8" ht="15.5" x14ac:dyDescent="0.35">
      <c r="B93" s="9"/>
      <c r="C93" s="9"/>
      <c r="D93" s="1"/>
      <c r="E93" s="9"/>
      <c r="F93" s="10"/>
      <c r="G93" s="10" t="str">
        <f>IF(Diciembre[[#This Row],[COTIZACION]]="", "", Diciembre[[#This Row],[ARS]]/Diciembre[[#This Row],[COTIZACION]])</f>
        <v/>
      </c>
      <c r="H93" s="10"/>
    </row>
    <row r="94" spans="2:8" ht="15.5" x14ac:dyDescent="0.35">
      <c r="B94" s="9"/>
      <c r="C94" s="9"/>
      <c r="D94" s="1"/>
      <c r="E94" s="9"/>
      <c r="F94" s="10"/>
      <c r="G94" s="10" t="str">
        <f>IF(Diciembre[[#This Row],[COTIZACION]]="", "", Diciembre[[#This Row],[ARS]]/Diciembre[[#This Row],[COTIZACION]])</f>
        <v/>
      </c>
      <c r="H94" s="10"/>
    </row>
    <row r="95" spans="2:8" ht="15.5" x14ac:dyDescent="0.35">
      <c r="B95" s="35"/>
      <c r="C95" s="35"/>
      <c r="D95" s="36"/>
      <c r="E95" s="35"/>
      <c r="F95" s="37"/>
      <c r="G95" s="37" t="str">
        <f>IF(Diciembre[[#This Row],[COTIZACION]]="", "", Diciembre[[#This Row],[ARS]]/Diciembre[[#This Row],[COTIZACION]])</f>
        <v/>
      </c>
      <c r="H95" s="37"/>
    </row>
  </sheetData>
  <mergeCells count="1">
    <mergeCell ref="F1:H1"/>
  </mergeCells>
  <phoneticPr fontId="3" type="noConversion"/>
  <dataValidations count="2">
    <dataValidation type="list" allowBlank="1" showInputMessage="1" showErrorMessage="1" sqref="B6:B95" xr:uid="{00000000-0002-0000-0F00-000000000000}">
      <formula1>Categorías</formula1>
    </dataValidation>
    <dataValidation type="list" allowBlank="1" showInputMessage="1" showErrorMessage="1" sqref="C6:C95" xr:uid="{00000000-0002-0000-0F00-000001000000}">
      <formula1>INDIRECT($B6)</formula1>
    </dataValidation>
  </dataValidations>
  <pageMargins left="0.7" right="0.7" top="0.75" bottom="0.75" header="0.3" footer="0.3"/>
  <pageSetup paperSize="9" orientation="portrait" r:id="rId1"/>
  <ignoredErrors>
    <ignoredError sqref="H3:H4" unlockedFormula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E2EFB2-4ACD-491B-BAE6-ADDEE0195B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9</vt:i4>
      </vt:variant>
    </vt:vector>
  </HeadingPairs>
  <TitlesOfParts>
    <vt:vector size="26" baseType="lpstr">
      <vt:lpstr>- AYUDA -</vt:lpstr>
      <vt:lpstr>Reporte </vt:lpstr>
      <vt:lpstr>Tipo de Gastos</vt:lpstr>
      <vt:lpstr>Enero</vt:lpstr>
      <vt:lpstr>Auxiliar</vt:lpstr>
      <vt:lpstr>Febrero</vt:lpstr>
      <vt:lpstr>Marzo</vt:lpstr>
      <vt:lpstr>Abril</vt:lpstr>
      <vt:lpstr>Mayo</vt:lpstr>
      <vt:lpstr>Junio</vt:lpstr>
      <vt:lpstr>Julio</vt:lpstr>
      <vt:lpstr>Agosto</vt:lpstr>
      <vt:lpstr>Sheet1</vt:lpstr>
      <vt:lpstr>Septiembre</vt:lpstr>
      <vt:lpstr>Octubre</vt:lpstr>
      <vt:lpstr>Noviembre</vt:lpstr>
      <vt:lpstr>Diciembre</vt:lpstr>
      <vt:lpstr>Categorías</vt:lpstr>
      <vt:lpstr>Formación</vt:lpstr>
      <vt:lpstr>Gastos_Fijos</vt:lpstr>
      <vt:lpstr>Impuestos</vt:lpstr>
      <vt:lpstr>Inversiones</vt:lpstr>
      <vt:lpstr>Ocio</vt:lpstr>
      <vt:lpstr>Salud</vt:lpstr>
      <vt:lpstr>Transporte</vt:lpstr>
      <vt:lpstr>Vivienda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Sevann Radhak T</cp:lastModifiedBy>
  <dcterms:created xsi:type="dcterms:W3CDTF">2011-12-18T11:03:07Z</dcterms:created>
  <dcterms:modified xsi:type="dcterms:W3CDTF">2025-12-10T16:33:04Z</dcterms:modified>
</cp:coreProperties>
</file>